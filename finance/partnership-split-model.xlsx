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uildout" sheetId="2" state="visible" r:id="rId2"/>
    <sheet name="YourMoney" sheetId="3" state="visible" r:id="rId3"/>
    <sheet name="Summary" sheetId="4" state="visible" r:id="rId4"/>
    <sheet name="Assumptions" sheetId="5" state="visible" r:id="rId5"/>
    <sheet name="Scenarios" sheetId="6" state="visible" r:id="rId6"/>
    <sheet name="MonthlyTracker" sheetId="7" state="visible" r:id="rId7"/>
    <sheet name="TrueUp" sheetId="8" state="visible" r:id="rId8"/>
    <sheet name="CapitalAccounts" sheetId="9" state="visible" r:id="rId9"/>
    <sheet name="_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555555"/>
      <sz val="10"/>
    </font>
    <font>
      <name val="Calibri"/>
      <b val="1"/>
      <color rgb="001A1A1A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  <font>
      <i val="1"/>
      <color rgb="00888888"/>
      <sz val="9"/>
    </font>
    <font>
      <name val="Calibri"/>
      <i val="1"/>
      <color rgb="00A94442"/>
      <sz val="10"/>
    </font>
    <font>
      <name val="Calibri"/>
      <b val="1"/>
      <sz val="14"/>
    </font>
    <font>
      <name val="Calibri"/>
      <b val="1"/>
    </font>
    <font>
      <name val="Calibri"/>
      <b val="1"/>
      <sz val="16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4EA"/>
      </patternFill>
    </fill>
    <fill>
      <patternFill patternType="solid">
        <fgColor rgb="00F5F5F5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7DD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64" fontId="0" fillId="3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0" fontId="6" fillId="0" borderId="0" applyAlignment="1" pivotButton="0" quotePrefix="0" xfId="0">
      <alignment vertical="center" wrapText="1"/>
    </xf>
    <xf numFmtId="164" fontId="0" fillId="6" borderId="1" applyAlignment="1" pivotButton="0" quotePrefix="0" xfId="0">
      <alignment horizontal="right"/>
    </xf>
    <xf numFmtId="164" fontId="10" fillId="5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5" fillId="6" borderId="1" applyAlignment="1" pivotButton="0" quotePrefix="0" xfId="0">
      <alignment vertical="center" wrapText="1"/>
    </xf>
    <xf numFmtId="164" fontId="0" fillId="6" borderId="1" pivotButton="0" quotePrefix="0" xfId="0"/>
    <xf numFmtId="0" fontId="2" fillId="0" borderId="0" pivotButton="0" quotePrefix="0" xfId="0"/>
    <xf numFmtId="9" fontId="0" fillId="3" borderId="1" pivotButton="0" quotePrefix="0" xfId="0"/>
    <xf numFmtId="49" fontId="0" fillId="4" borderId="1" pivotButton="0" quotePrefix="0" xfId="0"/>
    <xf numFmtId="164" fontId="0" fillId="3" borderId="1" pivotButton="0" quotePrefix="0" xfId="0"/>
    <xf numFmtId="0" fontId="5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horizontal="right"/>
    </xf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9" fontId="0" fillId="6" borderId="1" applyAlignment="1" pivotButton="0" quotePrefix="0" xfId="0">
      <alignment horizontal="right"/>
    </xf>
    <xf numFmtId="1" fontId="0" fillId="6" borderId="1" applyAlignment="1" pivotButton="0" quotePrefix="0" xfId="0">
      <alignment horizontal="right"/>
    </xf>
    <xf numFmtId="164" fontId="0" fillId="0" borderId="0" pivotButton="0" quotePrefix="0" xfId="0"/>
    <xf numFmtId="0" fontId="4" fillId="2" borderId="1" applyAlignment="1" pivotButton="0" quotePrefix="0" xfId="0">
      <alignment vertical="center" wrapText="1"/>
    </xf>
    <xf numFmtId="164" fontId="7" fillId="2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6" fillId="0" borderId="1" applyAlignment="1" pivotButton="0" quotePrefix="0" xfId="0">
      <alignment vertical="center" wrapText="1"/>
    </xf>
    <xf numFmtId="164" fontId="11" fillId="8" borderId="1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0" fillId="0" borderId="1" pivotButton="0" quotePrefix="0" xfId="0"/>
    <xf numFmtId="164" fontId="0" fillId="5" borderId="1" pivotButton="0" quotePrefix="0" xfId="0"/>
    <xf numFmtId="164" fontId="0" fillId="4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0" fillId="7" borderId="1" pivotButton="0" quotePrefix="0" xfId="0"/>
    <xf numFmtId="164" fontId="0" fillId="7" borderId="1" pivotButton="0" quotePrefix="0" xfId="0"/>
    <xf numFmtId="0" fontId="0" fillId="5" borderId="1" pivotButton="0" quotePrefix="0" xfId="0"/>
    <xf numFmtId="164" fontId="0" fillId="6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Break-even month: net economic result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'Scenarios'!G4</f>
            </strRef>
          </tx>
          <spPr>
            <a:ln>
              <a:prstDash val="solid"/>
            </a:ln>
          </spPr>
          <cat>
            <numRef>
              <f>'Scenarios'!$F$5:$F$8</f>
            </numRef>
          </cat>
          <val>
            <numRef>
              <f>'Scenarios'!$G$5:$G$8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Read me first</t>
        </is>
      </c>
    </row>
    <row r="3">
      <c r="A3" s="2" t="inlineStr">
        <is>
          <t>Sheets</t>
        </is>
      </c>
    </row>
    <row r="4" ht="100" customHeight="1">
      <c r="A4" s="3" t="inlineStr">
        <is>
          <t>1. Buildout — paste Amex/card lines → TOTAL shop build cost (start for buildout question)
2. YourMoney — how much of YOUR revenue paid rent/expenses
3. Summary — story + bottom-line numbers
4. Assumptions — 75/25 ownership, $45k/$15k, rent/ops
5. Scenarios / MonthlyTracker / TrueUp / CapitalAccounts</t>
        </is>
      </c>
    </row>
    <row r="6">
      <c r="A6" s="2" t="inlineStr">
        <is>
          <t>Two different questions</t>
        </is>
      </c>
    </row>
    <row r="7" ht="110" customHeight="1">
      <c r="A7" s="3" t="inlineStr">
        <is>
          <t>A) BUILDOUT COST (one-time): what did it cost to open the shop? → Buildout sheet + Amex/CSVs.
B) MONTHLY BURN / REVENUE: what did operations cost after open? → YourMoney / MonthlyTracker.
Ownership = 75/25 ($45k / $15k). At break-even ballpark, ~$11,250 of Cesar's revenue share paid bills.
Do not mix rent/utilities into Buildout — mark those Buildout?=No.</t>
        </is>
      </c>
    </row>
  </sheetData>
  <mergeCells count="2">
    <mergeCell ref="A4:B4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2" customWidth="1" min="4" max="4"/>
    <col width="36" customWidth="1" min="5" max="5"/>
    <col width="12" customWidth="1" min="6" max="6"/>
    <col width="12" customWidth="1" min="7" max="7"/>
    <col width="36" customWidth="1" min="8" max="8"/>
  </cols>
  <sheetData>
    <row r="1">
      <c r="A1" s="37" t="inlineStr">
        <is>
          <t>Shop buildout from Amex (imported)</t>
        </is>
      </c>
    </row>
    <row r="2" ht="40" customHeight="1">
      <c r="A2" s="13" t="inlineStr">
        <is>
          <t>Amex + manual contractor. Total buildout ~$45,178. $11,600 Alexis contractor is SPLIT 50/50 (Cesar $5,800 / Partner $5,800). If Cesar fronted all of it, Partner owes Cesar $5,800.</t>
        </is>
      </c>
    </row>
    <row r="4">
      <c r="A4" s="38" t="inlineStr">
        <is>
          <t>TOTALS</t>
        </is>
      </c>
      <c r="D4" s="38" t="inlineStr">
        <is>
          <t>BY CATEGORY (Yes)</t>
        </is>
      </c>
    </row>
    <row r="5">
      <c r="A5" s="5" t="inlineStr">
        <is>
          <t>Metric</t>
        </is>
      </c>
      <c r="B5" s="5" t="inlineStr">
        <is>
          <t>Amount</t>
        </is>
      </c>
      <c r="D5" s="5" t="inlineStr">
        <is>
          <t>Category</t>
        </is>
      </c>
      <c r="E5" s="5" t="inlineStr">
        <is>
          <t>Amount</t>
        </is>
      </c>
    </row>
    <row r="6">
      <c r="A6" s="39" t="inlineStr">
        <is>
          <t>BUILDOUT confident (Amex Yes + $11,600 contractor)</t>
        </is>
      </c>
      <c r="B6" s="40" t="n">
        <v>45178.03</v>
      </c>
      <c r="D6" s="39" t="inlineStr">
        <is>
          <t>Flooring / paint / finishes</t>
        </is>
      </c>
      <c r="E6" s="22" t="n">
        <v>11845.69</v>
      </c>
    </row>
    <row r="7">
      <c r="A7" s="39" t="inlineStr">
        <is>
          <t>BUILDOUT + Review</t>
        </is>
      </c>
      <c r="B7" s="40" t="n">
        <v>45305.39</v>
      </c>
      <c r="D7" s="39" t="inlineStr">
        <is>
          <t>Waiting area / furniture</t>
        </is>
      </c>
      <c r="E7" s="22" t="n">
        <v>6299.73</v>
      </c>
    </row>
    <row r="8">
      <c r="A8" s="39" t="inlineStr">
        <is>
          <t>Ops / utilities / fees</t>
        </is>
      </c>
      <c r="B8" s="41" t="n">
        <v>1267.06</v>
      </c>
      <c r="D8" s="39" t="inlineStr">
        <is>
          <t>Construction / contractor / permits</t>
        </is>
      </c>
      <c r="E8" s="22" t="n">
        <v>4350</v>
      </c>
    </row>
    <row r="9">
      <c r="A9" s="39" t="inlineStr">
        <is>
          <t>Personal excluded</t>
        </is>
      </c>
      <c r="B9" s="41" t="n">
        <v>1177.09</v>
      </c>
      <c r="D9" s="39" t="inlineStr">
        <is>
          <t>Other buildout</t>
        </is>
      </c>
      <c r="E9" s="22" t="n">
        <v>3644.16</v>
      </c>
    </row>
    <row r="10">
      <c r="D10" s="39" t="inlineStr">
        <is>
          <t>Plumbing / electrical / HVAC</t>
        </is>
      </c>
      <c r="E10" s="22" t="n">
        <v>2609.06</v>
      </c>
    </row>
    <row r="11">
      <c r="D11" s="39" t="inlineStr">
        <is>
          <t>Opening supplies / inventory</t>
        </is>
      </c>
      <c r="E11" s="22" t="n">
        <v>2294.67</v>
      </c>
    </row>
    <row r="12">
      <c r="A12" s="38" t="inlineStr">
        <is>
          <t>STATEMENT LINES (Yes + Review only)</t>
        </is>
      </c>
      <c r="D12" s="39" t="inlineStr">
        <is>
          <t>POS / computers / cameras / WiFi</t>
        </is>
      </c>
      <c r="E12" s="22" t="n">
        <v>1499.39</v>
      </c>
    </row>
    <row r="13">
      <c r="A13" s="5" t="inlineStr">
        <is>
          <t>Date</t>
        </is>
      </c>
      <c r="B13" s="5" t="inlineStr">
        <is>
          <t>Card member</t>
        </is>
      </c>
      <c r="C13" s="5" t="inlineStr">
        <is>
          <t>Description</t>
        </is>
      </c>
      <c r="D13" s="5" t="inlineStr">
        <is>
          <t>Amount</t>
        </is>
      </c>
      <c r="E13" s="42" t="inlineStr">
        <is>
          <t>Category</t>
        </is>
      </c>
      <c r="F13" s="5" t="inlineStr">
        <is>
          <t>Buildout?</t>
        </is>
      </c>
      <c r="G13" s="5" t="inlineStr">
        <is>
          <t>Paid by</t>
        </is>
      </c>
      <c r="H13" s="5" t="inlineStr">
        <is>
          <t>Notes</t>
        </is>
      </c>
    </row>
    <row r="14">
      <c r="A14" s="16" t="inlineStr">
        <is>
          <t>01/22/2026</t>
        </is>
      </c>
      <c r="B14" s="16" t="inlineStr">
        <is>
          <t>CESAR SILVA</t>
        </is>
      </c>
      <c r="C14" s="16" t="inlineStr">
        <is>
          <t>PAYPAL *IRONCLIDLOG 13291871846         HK</t>
        </is>
      </c>
      <c r="D14" s="18" t="n">
        <v>88.36</v>
      </c>
      <c r="E14" s="16" t="inlineStr">
        <is>
          <t>Other buildout</t>
        </is>
      </c>
      <c r="F14" s="16" t="inlineStr">
        <is>
          <t>Review</t>
        </is>
      </c>
      <c r="G14" s="16" t="inlineStr">
        <is>
          <t>Cesar</t>
        </is>
      </c>
      <c r="H14" s="16" t="inlineStr">
        <is>
          <t>PayPal Ironclid — confirm</t>
        </is>
      </c>
    </row>
    <row r="15">
      <c r="A15" s="43" t="inlineStr">
        <is>
          <t>01/23/2026</t>
        </is>
      </c>
      <c r="B15" s="43" t="inlineStr">
        <is>
          <t>CESAR SILVA</t>
        </is>
      </c>
      <c r="C15" s="43" t="inlineStr">
        <is>
          <t>GRANITE EXPO OUTLET 510-813-9451        CA</t>
        </is>
      </c>
      <c r="D15" s="44" t="n">
        <v>54.63</v>
      </c>
      <c r="E15" s="43" t="inlineStr">
        <is>
          <t>Flooring / paint / finishes</t>
        </is>
      </c>
      <c r="F15" s="43" t="inlineStr">
        <is>
          <t>Yes</t>
        </is>
      </c>
      <c r="G15" s="43" t="inlineStr">
        <is>
          <t>Cesar</t>
        </is>
      </c>
      <c r="H15" s="43" t="inlineStr">
        <is>
          <t>Granite Expo</t>
        </is>
      </c>
    </row>
    <row r="16">
      <c r="A16" s="43" t="inlineStr">
        <is>
          <t>01/23/2026</t>
        </is>
      </c>
      <c r="B16" s="43" t="inlineStr">
        <is>
          <t>CESAR SILVA</t>
        </is>
      </c>
      <c r="C16" s="43" t="inlineStr">
        <is>
          <t>GRANITE EXPO OUTLET 510-813-9451        CA</t>
        </is>
      </c>
      <c r="D16" s="44" t="n">
        <v>819.38</v>
      </c>
      <c r="E16" s="43" t="inlineStr">
        <is>
          <t>Flooring / paint / finishes</t>
        </is>
      </c>
      <c r="F16" s="43" t="inlineStr">
        <is>
          <t>Yes</t>
        </is>
      </c>
      <c r="G16" s="43" t="inlineStr">
        <is>
          <t>Cesar</t>
        </is>
      </c>
      <c r="H16" s="43" t="inlineStr">
        <is>
          <t>Granite Expo</t>
        </is>
      </c>
    </row>
    <row r="17">
      <c r="A17" s="43" t="inlineStr">
        <is>
          <t>01/23/2026</t>
        </is>
      </c>
      <c r="B17" s="43" t="inlineStr">
        <is>
          <t>CESAR SILVA</t>
        </is>
      </c>
      <c r="C17" s="43" t="inlineStr">
        <is>
          <t>GRANITE EXPO OUTLET 510-813-9451        CA</t>
        </is>
      </c>
      <c r="D17" s="44" t="n">
        <v>3061.28</v>
      </c>
      <c r="E17" s="43" t="inlineStr">
        <is>
          <t>Flooring / paint / finishes</t>
        </is>
      </c>
      <c r="F17" s="43" t="inlineStr">
        <is>
          <t>Yes</t>
        </is>
      </c>
      <c r="G17" s="43" t="inlineStr">
        <is>
          <t>Cesar</t>
        </is>
      </c>
      <c r="H17" s="43" t="inlineStr">
        <is>
          <t>Granite Expo</t>
        </is>
      </c>
    </row>
    <row r="18">
      <c r="A18" s="43" t="inlineStr">
        <is>
          <t>01/23/2026</t>
        </is>
      </c>
      <c r="B18" s="43" t="inlineStr">
        <is>
          <t>CESAR SILVA</t>
        </is>
      </c>
      <c r="C18" s="43" t="inlineStr">
        <is>
          <t>OMNIHOMEINC         8885579288          NJ</t>
        </is>
      </c>
      <c r="D18" s="44" t="n">
        <v>5489.85</v>
      </c>
      <c r="E18" s="43" t="inlineStr">
        <is>
          <t>Waiting area / furniture</t>
        </is>
      </c>
      <c r="F18" s="43" t="inlineStr">
        <is>
          <t>Yes</t>
        </is>
      </c>
      <c r="G18" s="43" t="inlineStr">
        <is>
          <t>Cesar</t>
        </is>
      </c>
      <c r="H18" s="43" t="inlineStr">
        <is>
          <t>Omnihome — furniture/fixtures (confirm)</t>
        </is>
      </c>
    </row>
    <row r="19">
      <c r="A19" s="43" t="inlineStr">
        <is>
          <t>01/23/2026</t>
        </is>
      </c>
      <c r="B19" s="43" t="inlineStr">
        <is>
          <t>CESAR SILVA</t>
        </is>
      </c>
      <c r="C19" s="43" t="inlineStr">
        <is>
          <t>THE HOME DEPOT      PITTSBURG           CA</t>
        </is>
      </c>
      <c r="D19" s="44" t="n">
        <v>174.73</v>
      </c>
      <c r="E19" s="43" t="inlineStr">
        <is>
          <t>Flooring / paint / finishes</t>
        </is>
      </c>
      <c r="F19" s="43" t="inlineStr">
        <is>
          <t>Yes</t>
        </is>
      </c>
      <c r="G19" s="43" t="inlineStr">
        <is>
          <t>Cesar</t>
        </is>
      </c>
      <c r="H19" s="43" t="inlineStr">
        <is>
          <t>Home Depot</t>
        </is>
      </c>
    </row>
    <row r="20">
      <c r="A20" s="43" t="inlineStr">
        <is>
          <t>01/24/2026</t>
        </is>
      </c>
      <c r="B20" s="43" t="inlineStr">
        <is>
          <t>CESAR SILVA</t>
        </is>
      </c>
      <c r="C20" s="43" t="inlineStr">
        <is>
          <t>GRANITE EXPO        STOCKTON            CA</t>
        </is>
      </c>
      <c r="D20" s="44" t="n">
        <v>1169.97</v>
      </c>
      <c r="E20" s="43" t="inlineStr">
        <is>
          <t>Flooring / paint / finishes</t>
        </is>
      </c>
      <c r="F20" s="43" t="inlineStr">
        <is>
          <t>Yes</t>
        </is>
      </c>
      <c r="G20" s="43" t="inlineStr">
        <is>
          <t>Cesar</t>
        </is>
      </c>
      <c r="H20" s="43" t="inlineStr">
        <is>
          <t>Granite Expo</t>
        </is>
      </c>
    </row>
    <row r="21">
      <c r="A21" s="43" t="inlineStr">
        <is>
          <t>01/25/2026</t>
        </is>
      </c>
      <c r="B21" s="43" t="inlineStr">
        <is>
          <t>CESAR SILVA</t>
        </is>
      </c>
      <c r="C21" s="43" t="inlineStr">
        <is>
          <t>THE HOME DEPOT      PITTSBURG           CA</t>
        </is>
      </c>
      <c r="D21" s="44" t="n">
        <v>-174.73</v>
      </c>
      <c r="E21" s="43" t="inlineStr">
        <is>
          <t>Flooring / paint / finishes</t>
        </is>
      </c>
      <c r="F21" s="43" t="inlineStr">
        <is>
          <t>Yes</t>
        </is>
      </c>
      <c r="G21" s="43" t="inlineStr">
        <is>
          <t>Cesar</t>
        </is>
      </c>
      <c r="H21" s="43" t="inlineStr">
        <is>
          <t>Home Depot</t>
        </is>
      </c>
    </row>
    <row r="22">
      <c r="A22" s="43" t="inlineStr">
        <is>
          <t>01/25/2026</t>
        </is>
      </c>
      <c r="B22" s="43" t="inlineStr">
        <is>
          <t>CESAR SILVA</t>
        </is>
      </c>
      <c r="C22" s="43" t="inlineStr">
        <is>
          <t>THE HOME DEPOT 644  PITTSBURG           CA</t>
        </is>
      </c>
      <c r="D22" s="44" t="n">
        <v>791.8</v>
      </c>
      <c r="E22" s="43" t="inlineStr">
        <is>
          <t>Flooring / paint / finishes</t>
        </is>
      </c>
      <c r="F22" s="43" t="inlineStr">
        <is>
          <t>Yes</t>
        </is>
      </c>
      <c r="G22" s="43" t="inlineStr">
        <is>
          <t>Cesar</t>
        </is>
      </c>
      <c r="H22" s="43" t="inlineStr">
        <is>
          <t>Home Depot</t>
        </is>
      </c>
    </row>
    <row r="23">
      <c r="A23" s="43" t="inlineStr">
        <is>
          <t>01/27/2026</t>
        </is>
      </c>
      <c r="B23" s="43" t="inlineStr">
        <is>
          <t>CESAR SILVA</t>
        </is>
      </c>
      <c r="C23" s="43" t="inlineStr">
        <is>
          <t>AplPay THE HOME DEPOPITTSBURG           CA</t>
        </is>
      </c>
      <c r="D23" s="44" t="n">
        <v>529.16</v>
      </c>
      <c r="E23" s="43" t="inlineStr">
        <is>
          <t>Flooring / paint / finishes</t>
        </is>
      </c>
      <c r="F23" s="43" t="inlineStr">
        <is>
          <t>Yes</t>
        </is>
      </c>
      <c r="G23" s="43" t="inlineStr">
        <is>
          <t>Cesar</t>
        </is>
      </c>
      <c r="H23" s="43" t="inlineStr">
        <is>
          <t>Home Depot</t>
        </is>
      </c>
    </row>
    <row r="24">
      <c r="A24" s="43" t="inlineStr">
        <is>
          <t>01/28/2026</t>
        </is>
      </c>
      <c r="B24" s="43" t="inlineStr">
        <is>
          <t>CESAR SILVA</t>
        </is>
      </c>
      <c r="C24" s="43" t="inlineStr">
        <is>
          <t>BEST BUY      010462ANTIOCH             CA</t>
        </is>
      </c>
      <c r="D24" s="44" t="n">
        <v>174.48</v>
      </c>
      <c r="E24" s="43" t="inlineStr">
        <is>
          <t>POS / computers / cameras / WiFi</t>
        </is>
      </c>
      <c r="F24" s="43" t="inlineStr">
        <is>
          <t>Yes</t>
        </is>
      </c>
      <c r="G24" s="43" t="inlineStr">
        <is>
          <t>Cesar</t>
        </is>
      </c>
      <c r="H24" s="43" t="inlineStr">
        <is>
          <t>Electronics / POS</t>
        </is>
      </c>
    </row>
    <row r="25">
      <c r="A25" s="43" t="inlineStr">
        <is>
          <t>01/28/2026</t>
        </is>
      </c>
      <c r="B25" s="43" t="inlineStr">
        <is>
          <t>CESAR SILVA</t>
        </is>
      </c>
      <c r="C25" s="43" t="inlineStr">
        <is>
          <t>BEST BUY      010462ANTIOCH             CA</t>
        </is>
      </c>
      <c r="D25" s="44" t="n">
        <v>305.8</v>
      </c>
      <c r="E25" s="43" t="inlineStr">
        <is>
          <t>POS / computers / cameras / WiFi</t>
        </is>
      </c>
      <c r="F25" s="43" t="inlineStr">
        <is>
          <t>Yes</t>
        </is>
      </c>
      <c r="G25" s="43" t="inlineStr">
        <is>
          <t>Cesar</t>
        </is>
      </c>
      <c r="H25" s="43" t="inlineStr">
        <is>
          <t>Electronics / POS</t>
        </is>
      </c>
    </row>
    <row r="26">
      <c r="A26" s="43" t="inlineStr">
        <is>
          <t>01/28/2026</t>
        </is>
      </c>
      <c r="B26" s="43" t="inlineStr">
        <is>
          <t>CESAR SILVA</t>
        </is>
      </c>
      <c r="C26" s="43" t="inlineStr">
        <is>
          <t>GRANITE EXPO OUTLET 510-813-9451        CA</t>
        </is>
      </c>
      <c r="D26" s="44" t="n">
        <v>3006.43</v>
      </c>
      <c r="E26" s="43" t="inlineStr">
        <is>
          <t>Flooring / paint / finishes</t>
        </is>
      </c>
      <c r="F26" s="43" t="inlineStr">
        <is>
          <t>Yes</t>
        </is>
      </c>
      <c r="G26" s="43" t="inlineStr">
        <is>
          <t>Cesar</t>
        </is>
      </c>
      <c r="H26" s="43" t="inlineStr">
        <is>
          <t>Granite Expo</t>
        </is>
      </c>
    </row>
    <row r="27">
      <c r="A27" s="43" t="inlineStr">
        <is>
          <t>02/02/2026</t>
        </is>
      </c>
      <c r="B27" s="43" t="inlineStr">
        <is>
          <t>CESAR SILVA</t>
        </is>
      </c>
      <c r="C27" s="43" t="inlineStr">
        <is>
          <t>GRANITE EXPO OUTLET 510-813-9451        CA</t>
        </is>
      </c>
      <c r="D27" s="44" t="n">
        <v>76.48</v>
      </c>
      <c r="E27" s="43" t="inlineStr">
        <is>
          <t>Flooring / paint / finishes</t>
        </is>
      </c>
      <c r="F27" s="43" t="inlineStr">
        <is>
          <t>Yes</t>
        </is>
      </c>
      <c r="G27" s="43" t="inlineStr">
        <is>
          <t>Cesar</t>
        </is>
      </c>
      <c r="H27" s="43" t="inlineStr">
        <is>
          <t>Granite Expo</t>
        </is>
      </c>
    </row>
    <row r="28">
      <c r="A28" s="43" t="inlineStr">
        <is>
          <t>02/03/2026</t>
        </is>
      </c>
      <c r="B28" s="43" t="inlineStr">
        <is>
          <t>CESAR SILVA</t>
        </is>
      </c>
      <c r="C28" s="43" t="inlineStr">
        <is>
          <t>APPLE STORE R014 R01WALNUT CREEK        CA</t>
        </is>
      </c>
      <c r="D28" s="44" t="n">
        <v>1324.91</v>
      </c>
      <c r="E28" s="43" t="inlineStr">
        <is>
          <t>POS / computers / cameras / WiFi</t>
        </is>
      </c>
      <c r="F28" s="43" t="inlineStr">
        <is>
          <t>Yes</t>
        </is>
      </c>
      <c r="G28" s="43" t="inlineStr">
        <is>
          <t>Cesar</t>
        </is>
      </c>
      <c r="H28" s="43" t="inlineStr">
        <is>
          <t>Electronics / POS</t>
        </is>
      </c>
    </row>
    <row r="29">
      <c r="A29" s="43" t="inlineStr">
        <is>
          <t>02/03/2026</t>
        </is>
      </c>
      <c r="B29" s="43" t="inlineStr">
        <is>
          <t>CESAR SILVA</t>
        </is>
      </c>
      <c r="C29" s="43" t="inlineStr">
        <is>
          <t>BEST BUY      010462ANTIOCH             CA</t>
        </is>
      </c>
      <c r="D29" s="44" t="n">
        <v>-305.8</v>
      </c>
      <c r="E29" s="43" t="inlineStr">
        <is>
          <t>POS / computers / cameras / WiFi</t>
        </is>
      </c>
      <c r="F29" s="43" t="inlineStr">
        <is>
          <t>Yes</t>
        </is>
      </c>
      <c r="G29" s="43" t="inlineStr">
        <is>
          <t>Cesar</t>
        </is>
      </c>
      <c r="H29" s="43" t="inlineStr">
        <is>
          <t>Electronics / POS</t>
        </is>
      </c>
    </row>
    <row r="30">
      <c r="A30" s="43" t="inlineStr">
        <is>
          <t>02/04/2026</t>
        </is>
      </c>
      <c r="B30" s="43" t="inlineStr">
        <is>
          <t>CESAR SILVA</t>
        </is>
      </c>
      <c r="C30" s="43" t="inlineStr">
        <is>
          <t>GRANITE EXPO OUTLET 510-813-9451        CA</t>
        </is>
      </c>
      <c r="D30" s="44" t="n">
        <v>1812.46</v>
      </c>
      <c r="E30" s="43" t="inlineStr">
        <is>
          <t>Flooring / paint / finishes</t>
        </is>
      </c>
      <c r="F30" s="43" t="inlineStr">
        <is>
          <t>Yes</t>
        </is>
      </c>
      <c r="G30" s="43" t="inlineStr">
        <is>
          <t>Cesar</t>
        </is>
      </c>
      <c r="H30" s="43" t="inlineStr">
        <is>
          <t>Granite Expo</t>
        </is>
      </c>
    </row>
    <row r="31">
      <c r="A31" s="43" t="inlineStr">
        <is>
          <t>02/04/2026</t>
        </is>
      </c>
      <c r="B31" s="43" t="inlineStr">
        <is>
          <t>CESAR SILVA</t>
        </is>
      </c>
      <c r="C31" s="43" t="inlineStr">
        <is>
          <t>THE HOME DEPOT      PITTSBURG           CA</t>
        </is>
      </c>
      <c r="D31" s="44" t="n">
        <v>-311.26</v>
      </c>
      <c r="E31" s="43" t="inlineStr">
        <is>
          <t>Flooring / paint / finishes</t>
        </is>
      </c>
      <c r="F31" s="43" t="inlineStr">
        <is>
          <t>Yes</t>
        </is>
      </c>
      <c r="G31" s="43" t="inlineStr">
        <is>
          <t>Cesar</t>
        </is>
      </c>
      <c r="H31" s="43" t="inlineStr">
        <is>
          <t>Home Depot</t>
        </is>
      </c>
    </row>
    <row r="32">
      <c r="A32" s="43" t="inlineStr">
        <is>
          <t>02/04/2026</t>
        </is>
      </c>
      <c r="B32" s="43" t="inlineStr">
        <is>
          <t>CESAR SILVA</t>
        </is>
      </c>
      <c r="C32" s="43" t="inlineStr">
        <is>
          <t>THE HOME DEPOT      PITTSBURG           CA</t>
        </is>
      </c>
      <c r="D32" s="44" t="n">
        <v>-311.25</v>
      </c>
      <c r="E32" s="43" t="inlineStr">
        <is>
          <t>Flooring / paint / finishes</t>
        </is>
      </c>
      <c r="F32" s="43" t="inlineStr">
        <is>
          <t>Yes</t>
        </is>
      </c>
      <c r="G32" s="43" t="inlineStr">
        <is>
          <t>Cesar</t>
        </is>
      </c>
      <c r="H32" s="43" t="inlineStr">
        <is>
          <t>Home Depot</t>
        </is>
      </c>
    </row>
    <row r="33">
      <c r="A33" s="43" t="inlineStr">
        <is>
          <t>02/04/2026</t>
        </is>
      </c>
      <c r="B33" s="43" t="inlineStr">
        <is>
          <t>CESAR SILVA</t>
        </is>
      </c>
      <c r="C33" s="43" t="inlineStr">
        <is>
          <t>THE HOME DEPOT      PITTSBURG           CA</t>
        </is>
      </c>
      <c r="D33" s="44" t="n">
        <v>-103.77</v>
      </c>
      <c r="E33" s="43" t="inlineStr">
        <is>
          <t>Flooring / paint / finishes</t>
        </is>
      </c>
      <c r="F33" s="43" t="inlineStr">
        <is>
          <t>Yes</t>
        </is>
      </c>
      <c r="G33" s="43" t="inlineStr">
        <is>
          <t>Cesar</t>
        </is>
      </c>
      <c r="H33" s="43" t="inlineStr">
        <is>
          <t>Home Depot</t>
        </is>
      </c>
    </row>
    <row r="34">
      <c r="A34" s="43" t="inlineStr">
        <is>
          <t>02/04/2026</t>
        </is>
      </c>
      <c r="B34" s="43" t="inlineStr">
        <is>
          <t>CESAR SILVA</t>
        </is>
      </c>
      <c r="C34" s="43" t="inlineStr">
        <is>
          <t>THE HOME DEPOT      PITTSBURG           CA</t>
        </is>
      </c>
      <c r="D34" s="44" t="n">
        <v>39</v>
      </c>
      <c r="E34" s="43" t="inlineStr">
        <is>
          <t>Flooring / paint / finishes</t>
        </is>
      </c>
      <c r="F34" s="43" t="inlineStr">
        <is>
          <t>Yes</t>
        </is>
      </c>
      <c r="G34" s="43" t="inlineStr">
        <is>
          <t>Cesar</t>
        </is>
      </c>
      <c r="H34" s="43" t="inlineStr">
        <is>
          <t>Home Depot</t>
        </is>
      </c>
    </row>
    <row r="35">
      <c r="A35" s="43" t="inlineStr">
        <is>
          <t>02/05/2026</t>
        </is>
      </c>
      <c r="B35" s="43" t="inlineStr">
        <is>
          <t>CESAR SILVA</t>
        </is>
      </c>
      <c r="C35" s="43" t="inlineStr">
        <is>
          <t>AplPay BT*MINERVA BEMONROE              GA</t>
        </is>
      </c>
      <c r="D35" s="44" t="n">
        <v>106.64</v>
      </c>
      <c r="E35" s="43" t="inlineStr">
        <is>
          <t>Opening supplies / inventory</t>
        </is>
      </c>
      <c r="F35" s="43" t="inlineStr">
        <is>
          <t>Yes</t>
        </is>
      </c>
      <c r="G35" s="43" t="inlineStr">
        <is>
          <t>Cesar</t>
        </is>
      </c>
      <c r="H35" s="43" t="inlineStr">
        <is>
          <t>Opening supplies / beauty</t>
        </is>
      </c>
    </row>
    <row r="36">
      <c r="A36" s="43" t="inlineStr">
        <is>
          <t>02/06/2026</t>
        </is>
      </c>
      <c r="B36" s="43" t="inlineStr">
        <is>
          <t>CESAR SILVA</t>
        </is>
      </c>
      <c r="C36" s="43" t="inlineStr">
        <is>
          <t>AMAZON MARKEPLACE NA PA</t>
        </is>
      </c>
      <c r="D36" s="44" t="n">
        <v>109.74</v>
      </c>
      <c r="E36" s="43" t="inlineStr">
        <is>
          <t>Other buildout</t>
        </is>
      </c>
      <c r="F36" s="43" t="inlineStr">
        <is>
          <t>Yes</t>
        </is>
      </c>
      <c r="G36" s="43" t="inlineStr">
        <is>
          <t>Cesar</t>
        </is>
      </c>
      <c r="H36" s="43" t="inlineStr">
        <is>
          <t>Amazon — mostly shop setup (spot-check)</t>
        </is>
      </c>
    </row>
    <row r="37">
      <c r="A37" s="43" t="inlineStr">
        <is>
          <t>02/06/2026</t>
        </is>
      </c>
      <c r="B37" s="43" t="inlineStr">
        <is>
          <t>CESAR SILVA</t>
        </is>
      </c>
      <c r="C37" s="43" t="inlineStr">
        <is>
          <t>AMAZON MARKEPLACE NA PA</t>
        </is>
      </c>
      <c r="D37" s="44" t="n">
        <v>185.27</v>
      </c>
      <c r="E37" s="43" t="inlineStr">
        <is>
          <t>Other buildout</t>
        </is>
      </c>
      <c r="F37" s="43" t="inlineStr">
        <is>
          <t>Yes</t>
        </is>
      </c>
      <c r="G37" s="43" t="inlineStr">
        <is>
          <t>Cesar</t>
        </is>
      </c>
      <c r="H37" s="43" t="inlineStr">
        <is>
          <t>Amazon — mostly shop setup (spot-check)</t>
        </is>
      </c>
    </row>
    <row r="38">
      <c r="A38" s="43" t="inlineStr">
        <is>
          <t>02/06/2026</t>
        </is>
      </c>
      <c r="B38" s="43" t="inlineStr">
        <is>
          <t>CESAR SILVA</t>
        </is>
      </c>
      <c r="C38" s="43" t="inlineStr">
        <is>
          <t>AMAZON MARKEPLACE NA PA</t>
        </is>
      </c>
      <c r="D38" s="44" t="n">
        <v>1565.67</v>
      </c>
      <c r="E38" s="43" t="inlineStr">
        <is>
          <t>Other buildout</t>
        </is>
      </c>
      <c r="F38" s="43" t="inlineStr">
        <is>
          <t>Yes</t>
        </is>
      </c>
      <c r="G38" s="43" t="inlineStr">
        <is>
          <t>Cesar</t>
        </is>
      </c>
      <c r="H38" s="43" t="inlineStr">
        <is>
          <t>Amazon — mostly shop setup (spot-check)</t>
        </is>
      </c>
    </row>
    <row r="39">
      <c r="A39" s="43" t="inlineStr">
        <is>
          <t>02/07/2026</t>
        </is>
      </c>
      <c r="B39" s="43" t="inlineStr">
        <is>
          <t>CESAR SILVA</t>
        </is>
      </c>
      <c r="C39" s="43" t="inlineStr">
        <is>
          <t>CANVA* I04785-500839CAMDEN              DE</t>
        </is>
      </c>
      <c r="D39" s="44" t="n">
        <v>202.8</v>
      </c>
      <c r="E39" s="43" t="inlineStr">
        <is>
          <t>Signage / exterior / branding</t>
        </is>
      </c>
      <c r="F39" s="43" t="inlineStr">
        <is>
          <t>Yes</t>
        </is>
      </c>
      <c r="G39" s="43" t="inlineStr">
        <is>
          <t>Cesar</t>
        </is>
      </c>
      <c r="H39" s="43" t="inlineStr">
        <is>
          <t>Branding / print</t>
        </is>
      </c>
    </row>
    <row r="40">
      <c r="A40" s="43" t="inlineStr">
        <is>
          <t>02/09/2026</t>
        </is>
      </c>
      <c r="B40" s="43" t="inlineStr">
        <is>
          <t>CESAR SILVA</t>
        </is>
      </c>
      <c r="C40" s="43" t="inlineStr">
        <is>
          <t>AMAZON MARKEPLACE NA PA</t>
        </is>
      </c>
      <c r="D40" s="44" t="n">
        <v>1305.92</v>
      </c>
      <c r="E40" s="43" t="inlineStr">
        <is>
          <t>Other buildout</t>
        </is>
      </c>
      <c r="F40" s="43" t="inlineStr">
        <is>
          <t>Yes</t>
        </is>
      </c>
      <c r="G40" s="43" t="inlineStr">
        <is>
          <t>Cesar</t>
        </is>
      </c>
      <c r="H40" s="43" t="inlineStr">
        <is>
          <t>Amazon — mostly shop setup (spot-check)</t>
        </is>
      </c>
    </row>
    <row r="41">
      <c r="A41" s="43" t="inlineStr">
        <is>
          <t>02/09/2026</t>
        </is>
      </c>
      <c r="B41" s="43" t="inlineStr">
        <is>
          <t>CESAR SILVA</t>
        </is>
      </c>
      <c r="C41" s="43" t="inlineStr">
        <is>
          <t>HOMEGOODS           BRENTWOOD           CA</t>
        </is>
      </c>
      <c r="D41" s="44" t="n">
        <v>97.81999999999999</v>
      </c>
      <c r="E41" s="43" t="inlineStr">
        <is>
          <t>Waiting area / furniture</t>
        </is>
      </c>
      <c r="F41" s="43" t="inlineStr">
        <is>
          <t>Yes</t>
        </is>
      </c>
      <c r="G41" s="43" t="inlineStr">
        <is>
          <t>Cesar</t>
        </is>
      </c>
      <c r="H41" s="43" t="inlineStr">
        <is>
          <t>Decor / waiting area</t>
        </is>
      </c>
    </row>
    <row r="42">
      <c r="A42" s="43" t="inlineStr">
        <is>
          <t>02/10/2026</t>
        </is>
      </c>
      <c r="B42" s="43" t="inlineStr">
        <is>
          <t>CESAR SILVA</t>
        </is>
      </c>
      <c r="C42" s="43" t="inlineStr">
        <is>
          <t>HOBBY LOBBY         ANTIOCH             CA</t>
        </is>
      </c>
      <c r="D42" s="44" t="n">
        <v>209.13</v>
      </c>
      <c r="E42" s="43" t="inlineStr">
        <is>
          <t>Waiting area / furniture</t>
        </is>
      </c>
      <c r="F42" s="43" t="inlineStr">
        <is>
          <t>Yes</t>
        </is>
      </c>
      <c r="G42" s="43" t="inlineStr">
        <is>
          <t>Cesar</t>
        </is>
      </c>
      <c r="H42" s="43" t="inlineStr">
        <is>
          <t>Decor / waiting area</t>
        </is>
      </c>
    </row>
    <row r="43">
      <c r="A43" s="43" t="inlineStr">
        <is>
          <t>02/10/2026</t>
        </is>
      </c>
      <c r="B43" s="43" t="inlineStr">
        <is>
          <t>CESAR SILVA</t>
        </is>
      </c>
      <c r="C43" s="43" t="inlineStr">
        <is>
          <t>LOWE'S              ANTIOCH             CA</t>
        </is>
      </c>
      <c r="D43" s="44" t="n">
        <v>227.62</v>
      </c>
      <c r="E43" s="43" t="inlineStr">
        <is>
          <t>Flooring / paint / finishes</t>
        </is>
      </c>
      <c r="F43" s="43" t="inlineStr">
        <is>
          <t>Yes</t>
        </is>
      </c>
      <c r="G43" s="43" t="inlineStr">
        <is>
          <t>Cesar</t>
        </is>
      </c>
      <c r="H43" s="43" t="inlineStr">
        <is>
          <t>Lowe's</t>
        </is>
      </c>
    </row>
    <row r="44">
      <c r="A44" s="43" t="inlineStr">
        <is>
          <t>02/12/2026</t>
        </is>
      </c>
      <c r="B44" s="43" t="inlineStr">
        <is>
          <t>CESAR SILVA</t>
        </is>
      </c>
      <c r="C44" s="43" t="inlineStr">
        <is>
          <t>AplPay IN *FNR CONSUSACRAMENTO          CA</t>
        </is>
      </c>
      <c r="D44" s="44" t="n">
        <v>2000</v>
      </c>
      <c r="E44" s="43" t="inlineStr">
        <is>
          <t>Construction / contractor / permits</t>
        </is>
      </c>
      <c r="F44" s="43" t="inlineStr">
        <is>
          <t>Yes</t>
        </is>
      </c>
      <c r="G44" s="43" t="inlineStr">
        <is>
          <t>Cesar</t>
        </is>
      </c>
      <c r="H44" s="43" t="inlineStr">
        <is>
          <t>FNR consulting / contractor</t>
        </is>
      </c>
    </row>
    <row r="45">
      <c r="A45" s="43" t="inlineStr">
        <is>
          <t>02/12/2026</t>
        </is>
      </c>
      <c r="B45" s="43" t="inlineStr">
        <is>
          <t>CESAR SILVA</t>
        </is>
      </c>
      <c r="C45" s="43" t="inlineStr">
        <is>
          <t>HOBBY LOBBY         ANTIOCH             CA</t>
        </is>
      </c>
      <c r="D45" s="44" t="n">
        <v>-142.12</v>
      </c>
      <c r="E45" s="43" t="inlineStr">
        <is>
          <t>Waiting area / furniture</t>
        </is>
      </c>
      <c r="F45" s="43" t="inlineStr">
        <is>
          <t>Yes</t>
        </is>
      </c>
      <c r="G45" s="43" t="inlineStr">
        <is>
          <t>Cesar</t>
        </is>
      </c>
      <c r="H45" s="43" t="inlineStr">
        <is>
          <t>Decor / waiting area</t>
        </is>
      </c>
    </row>
    <row r="46">
      <c r="A46" s="43" t="inlineStr">
        <is>
          <t>02/12/2026</t>
        </is>
      </c>
      <c r="B46" s="43" t="inlineStr">
        <is>
          <t>CESAR SILVA</t>
        </is>
      </c>
      <c r="C46" s="43" t="inlineStr">
        <is>
          <t>HOBBY LOBBY         ANTIOCH             CA</t>
        </is>
      </c>
      <c r="D46" s="44" t="n">
        <v>-142.09</v>
      </c>
      <c r="E46" s="43" t="inlineStr">
        <is>
          <t>Waiting area / furniture</t>
        </is>
      </c>
      <c r="F46" s="43" t="inlineStr">
        <is>
          <t>Yes</t>
        </is>
      </c>
      <c r="G46" s="43" t="inlineStr">
        <is>
          <t>Cesar</t>
        </is>
      </c>
      <c r="H46" s="43" t="inlineStr">
        <is>
          <t>Decor / waiting area</t>
        </is>
      </c>
    </row>
    <row r="47">
      <c r="A47" s="43" t="inlineStr">
        <is>
          <t>02/12/2026</t>
        </is>
      </c>
      <c r="B47" s="43" t="inlineStr">
        <is>
          <t>CESAR SILVA</t>
        </is>
      </c>
      <c r="C47" s="43" t="inlineStr">
        <is>
          <t>HOBBY LOBBY         ANTIOCH             CA</t>
        </is>
      </c>
      <c r="D47" s="44" t="n">
        <v>57.06</v>
      </c>
      <c r="E47" s="43" t="inlineStr">
        <is>
          <t>Waiting area / furniture</t>
        </is>
      </c>
      <c r="F47" s="43" t="inlineStr">
        <is>
          <t>Yes</t>
        </is>
      </c>
      <c r="G47" s="43" t="inlineStr">
        <is>
          <t>Cesar</t>
        </is>
      </c>
      <c r="H47" s="43" t="inlineStr">
        <is>
          <t>Decor / waiting area</t>
        </is>
      </c>
    </row>
    <row r="48">
      <c r="A48" s="43" t="inlineStr">
        <is>
          <t>02/12/2026</t>
        </is>
      </c>
      <c r="B48" s="43" t="inlineStr">
        <is>
          <t>CESAR SILVA</t>
        </is>
      </c>
      <c r="C48" s="43" t="inlineStr">
        <is>
          <t>HOBBY LOBBY         ANTIOCH             CA</t>
        </is>
      </c>
      <c r="D48" s="44" t="n">
        <v>142.12</v>
      </c>
      <c r="E48" s="43" t="inlineStr">
        <is>
          <t>Waiting area / furniture</t>
        </is>
      </c>
      <c r="F48" s="43" t="inlineStr">
        <is>
          <t>Yes</t>
        </is>
      </c>
      <c r="G48" s="43" t="inlineStr">
        <is>
          <t>Cesar</t>
        </is>
      </c>
      <c r="H48" s="43" t="inlineStr">
        <is>
          <t>Decor / waiting area</t>
        </is>
      </c>
    </row>
    <row r="49">
      <c r="A49" s="43" t="inlineStr">
        <is>
          <t>02/12/2026</t>
        </is>
      </c>
      <c r="B49" s="43" t="inlineStr">
        <is>
          <t>CESAR SILVA</t>
        </is>
      </c>
      <c r="C49" s="43" t="inlineStr">
        <is>
          <t>HOMEGOODS           BRENTWOOD           CA</t>
        </is>
      </c>
      <c r="D49" s="44" t="n">
        <v>347.97</v>
      </c>
      <c r="E49" s="43" t="inlineStr">
        <is>
          <t>Waiting area / furniture</t>
        </is>
      </c>
      <c r="F49" s="43" t="inlineStr">
        <is>
          <t>Yes</t>
        </is>
      </c>
      <c r="G49" s="43" t="inlineStr">
        <is>
          <t>Cesar</t>
        </is>
      </c>
      <c r="H49" s="43" t="inlineStr">
        <is>
          <t>Decor / waiting area</t>
        </is>
      </c>
    </row>
    <row r="50">
      <c r="A50" s="43" t="inlineStr">
        <is>
          <t>02/15/2026</t>
        </is>
      </c>
      <c r="B50" s="43" t="inlineStr">
        <is>
          <t>CESAR SILVA</t>
        </is>
      </c>
      <c r="C50" s="43" t="inlineStr">
        <is>
          <t>AMAZON MARKETPLACE NAMZN.COM/BILL       WA</t>
        </is>
      </c>
      <c r="D50" s="44" t="n">
        <v>-746.24</v>
      </c>
      <c r="E50" s="43" t="inlineStr">
        <is>
          <t>Other buildout</t>
        </is>
      </c>
      <c r="F50" s="43" t="inlineStr">
        <is>
          <t>Yes</t>
        </is>
      </c>
      <c r="G50" s="43" t="inlineStr">
        <is>
          <t>Cesar</t>
        </is>
      </c>
      <c r="H50" s="43" t="inlineStr">
        <is>
          <t>Amazon — mostly shop setup (spot-check)</t>
        </is>
      </c>
    </row>
    <row r="51">
      <c r="A51" s="43" t="inlineStr">
        <is>
          <t>02/15/2026</t>
        </is>
      </c>
      <c r="B51" s="43" t="inlineStr">
        <is>
          <t>CESAR SILVA</t>
        </is>
      </c>
      <c r="C51" s="43" t="inlineStr">
        <is>
          <t>DD'S DISCOUNTS #5252PITTSBURG           CA</t>
        </is>
      </c>
      <c r="D51" s="44" t="n">
        <v>121.14</v>
      </c>
      <c r="E51" s="43" t="inlineStr">
        <is>
          <t>Waiting area / furniture</t>
        </is>
      </c>
      <c r="F51" s="43" t="inlineStr">
        <is>
          <t>Yes</t>
        </is>
      </c>
      <c r="G51" s="43" t="inlineStr">
        <is>
          <t>Cesar</t>
        </is>
      </c>
      <c r="H51" s="43" t="inlineStr">
        <is>
          <t>Decor / waiting area</t>
        </is>
      </c>
    </row>
    <row r="52">
      <c r="A52" s="43" t="inlineStr">
        <is>
          <t>02/15/2026</t>
        </is>
      </c>
      <c r="B52" s="43" t="inlineStr">
        <is>
          <t>CESAR SILVA</t>
        </is>
      </c>
      <c r="C52" s="43" t="inlineStr">
        <is>
          <t>THE HOME DEPOT      PITTSBURG           CA</t>
        </is>
      </c>
      <c r="D52" s="44" t="n">
        <v>21.78</v>
      </c>
      <c r="E52" s="43" t="inlineStr">
        <is>
          <t>Flooring / paint / finishes</t>
        </is>
      </c>
      <c r="F52" s="43" t="inlineStr">
        <is>
          <t>Yes</t>
        </is>
      </c>
      <c r="G52" s="43" t="inlineStr">
        <is>
          <t>Cesar</t>
        </is>
      </c>
      <c r="H52" s="43" t="inlineStr">
        <is>
          <t>Home Depot</t>
        </is>
      </c>
    </row>
    <row r="53">
      <c r="A53" s="43" t="inlineStr">
        <is>
          <t>02/15/2026</t>
        </is>
      </c>
      <c r="B53" s="43" t="inlineStr">
        <is>
          <t>CESAR SILVA</t>
        </is>
      </c>
      <c r="C53" s="43" t="inlineStr">
        <is>
          <t>THE HOME DEPOT      PITTSBURG           CA</t>
        </is>
      </c>
      <c r="D53" s="44" t="n">
        <v>203.17</v>
      </c>
      <c r="E53" s="43" t="inlineStr">
        <is>
          <t>Flooring / paint / finishes</t>
        </is>
      </c>
      <c r="F53" s="43" t="inlineStr">
        <is>
          <t>Yes</t>
        </is>
      </c>
      <c r="G53" s="43" t="inlineStr">
        <is>
          <t>Cesar</t>
        </is>
      </c>
      <c r="H53" s="43" t="inlineStr">
        <is>
          <t>Home Depot</t>
        </is>
      </c>
    </row>
    <row r="54">
      <c r="A54" s="43" t="inlineStr">
        <is>
          <t>02/15/2026</t>
        </is>
      </c>
      <c r="B54" s="43" t="inlineStr">
        <is>
          <t>ALEXIS FRANCO</t>
        </is>
      </c>
      <c r="C54" s="43" t="inlineStr">
        <is>
          <t>WAL-MART 2697 2697  ANTIOCH             CA</t>
        </is>
      </c>
      <c r="D54" s="44" t="n">
        <v>57.57</v>
      </c>
      <c r="E54" s="43" t="inlineStr">
        <is>
          <t>Opening supplies / inventory</t>
        </is>
      </c>
      <c r="F54" s="43" t="inlineStr">
        <is>
          <t>Yes</t>
        </is>
      </c>
      <c r="G54" s="43" t="inlineStr">
        <is>
          <t>Alexis</t>
        </is>
      </c>
      <c r="H54" s="43" t="inlineStr">
        <is>
          <t>Opening supplies / beauty</t>
        </is>
      </c>
    </row>
    <row r="55">
      <c r="A55" s="43" t="inlineStr">
        <is>
          <t>02/15/2026</t>
        </is>
      </c>
      <c r="B55" s="43" t="inlineStr">
        <is>
          <t>ALEXIS FRANCO</t>
        </is>
      </c>
      <c r="C55" s="43" t="inlineStr">
        <is>
          <t>WAL-MART 2697 2697  ANTIOCH             CA</t>
        </is>
      </c>
      <c r="D55" s="44" t="n">
        <v>111.18</v>
      </c>
      <c r="E55" s="43" t="inlineStr">
        <is>
          <t>Opening supplies / inventory</t>
        </is>
      </c>
      <c r="F55" s="43" t="inlineStr">
        <is>
          <t>Yes</t>
        </is>
      </c>
      <c r="G55" s="43" t="inlineStr">
        <is>
          <t>Alexis</t>
        </is>
      </c>
      <c r="H55" s="43" t="inlineStr">
        <is>
          <t>Opening supplies / beauty</t>
        </is>
      </c>
    </row>
    <row r="56">
      <c r="A56" s="43" t="inlineStr">
        <is>
          <t>02/16/2026</t>
        </is>
      </c>
      <c r="B56" s="43" t="inlineStr">
        <is>
          <t>CESAR SILVA</t>
        </is>
      </c>
      <c r="C56" s="43" t="inlineStr">
        <is>
          <t>CANVA* I04795-512858CAMDEN              DE</t>
        </is>
      </c>
      <c r="D56" s="44" t="n">
        <v>362.33</v>
      </c>
      <c r="E56" s="43" t="inlineStr">
        <is>
          <t>Signage / exterior / branding</t>
        </is>
      </c>
      <c r="F56" s="43" t="inlineStr">
        <is>
          <t>Yes</t>
        </is>
      </c>
      <c r="G56" s="43" t="inlineStr">
        <is>
          <t>Cesar</t>
        </is>
      </c>
      <c r="H56" s="43" t="inlineStr">
        <is>
          <t>Branding / print</t>
        </is>
      </c>
    </row>
    <row r="57">
      <c r="A57" s="43" t="inlineStr">
        <is>
          <t>02/16/2026</t>
        </is>
      </c>
      <c r="B57" s="43" t="inlineStr">
        <is>
          <t>CESAR SILVA</t>
        </is>
      </c>
      <c r="C57" s="43" t="inlineStr">
        <is>
          <t>WAL-MART 1789 1789  LODI                CA</t>
        </is>
      </c>
      <c r="D57" s="44" t="n">
        <v>303.6</v>
      </c>
      <c r="E57" s="43" t="inlineStr">
        <is>
          <t>Opening supplies / inventory</t>
        </is>
      </c>
      <c r="F57" s="43" t="inlineStr">
        <is>
          <t>Yes</t>
        </is>
      </c>
      <c r="G57" s="43" t="inlineStr">
        <is>
          <t>Cesar</t>
        </is>
      </c>
      <c r="H57" s="43" t="inlineStr">
        <is>
          <t>Opening supplies / beauty</t>
        </is>
      </c>
    </row>
    <row r="58">
      <c r="A58" s="43" t="inlineStr">
        <is>
          <t>02/17/2026</t>
        </is>
      </c>
      <c r="B58" s="43" t="inlineStr">
        <is>
          <t>CESAR SILVA</t>
        </is>
      </c>
      <c r="C58" s="43" t="inlineStr">
        <is>
          <t>AMAZON MARKETPLACE NAMZN.COM/BILL       WA</t>
        </is>
      </c>
      <c r="D58" s="44" t="n">
        <v>-164.61</v>
      </c>
      <c r="E58" s="43" t="inlineStr">
        <is>
          <t>Other buildout</t>
        </is>
      </c>
      <c r="F58" s="43" t="inlineStr">
        <is>
          <t>Yes</t>
        </is>
      </c>
      <c r="G58" s="43" t="inlineStr">
        <is>
          <t>Cesar</t>
        </is>
      </c>
      <c r="H58" s="43" t="inlineStr">
        <is>
          <t>Amazon — mostly shop setup (spot-check)</t>
        </is>
      </c>
    </row>
    <row r="59">
      <c r="A59" s="43" t="inlineStr">
        <is>
          <t>02/17/2026</t>
        </is>
      </c>
      <c r="B59" s="43" t="inlineStr">
        <is>
          <t>CESAR SILVA</t>
        </is>
      </c>
      <c r="C59" s="43" t="inlineStr">
        <is>
          <t>FLUOROLITE PLASTICS HUDSON              MA</t>
        </is>
      </c>
      <c r="D59" s="44" t="n">
        <v>310</v>
      </c>
      <c r="E59" s="43" t="inlineStr">
        <is>
          <t>Signage / exterior / branding</t>
        </is>
      </c>
      <c r="F59" s="43" t="inlineStr">
        <is>
          <t>Yes</t>
        </is>
      </c>
      <c r="G59" s="43" t="inlineStr">
        <is>
          <t>Cesar</t>
        </is>
      </c>
      <c r="H59" s="43" t="inlineStr">
        <is>
          <t>Plastics / sign materials</t>
        </is>
      </c>
    </row>
    <row r="60">
      <c r="A60" s="16" t="inlineStr">
        <is>
          <t>02/17/2026</t>
        </is>
      </c>
      <c r="B60" s="16" t="inlineStr">
        <is>
          <t>ALEXIS FRANCO</t>
        </is>
      </c>
      <c r="C60" s="16" t="inlineStr">
        <is>
          <t>LEMSQZY* UIBARBOSA  SOUTH SAN FRANCISCO CA</t>
        </is>
      </c>
      <c r="D60" s="18" t="n">
        <v>39</v>
      </c>
      <c r="E60" s="16" t="inlineStr">
        <is>
          <t>Opening supplies / inventory</t>
        </is>
      </c>
      <c r="F60" s="16" t="inlineStr">
        <is>
          <t>Review</t>
        </is>
      </c>
      <c r="G60" s="16" t="inlineStr">
        <is>
          <t>Alexis</t>
        </is>
      </c>
      <c r="H60" s="16" t="inlineStr">
        <is>
          <t>Vendor — confirm</t>
        </is>
      </c>
    </row>
    <row r="61">
      <c r="A61" s="43" t="inlineStr">
        <is>
          <t>02/17/2026</t>
        </is>
      </c>
      <c r="B61" s="43" t="inlineStr">
        <is>
          <t>ALEXIS FRANCO</t>
        </is>
      </c>
      <c r="C61" s="43" t="inlineStr">
        <is>
          <t>LOWE'S              ANTIOCH             CA</t>
        </is>
      </c>
      <c r="D61" s="44" t="n">
        <v>59.22</v>
      </c>
      <c r="E61" s="43" t="inlineStr">
        <is>
          <t>Flooring / paint / finishes</t>
        </is>
      </c>
      <c r="F61" s="43" t="inlineStr">
        <is>
          <t>Yes</t>
        </is>
      </c>
      <c r="G61" s="43" t="inlineStr">
        <is>
          <t>Alexis</t>
        </is>
      </c>
      <c r="H61" s="43" t="inlineStr">
        <is>
          <t>Lowe's</t>
        </is>
      </c>
    </row>
    <row r="62">
      <c r="A62" s="43" t="inlineStr">
        <is>
          <t>02/17/2026</t>
        </is>
      </c>
      <c r="B62" s="43" t="inlineStr">
        <is>
          <t>ALEXIS FRANCO</t>
        </is>
      </c>
      <c r="C62" s="43" t="inlineStr">
        <is>
          <t>TARGET        018192ANTIOCH             CA</t>
        </is>
      </c>
      <c r="D62" s="44" t="n">
        <v>102.21</v>
      </c>
      <c r="E62" s="43" t="inlineStr">
        <is>
          <t>Opening supplies / inventory</t>
        </is>
      </c>
      <c r="F62" s="43" t="inlineStr">
        <is>
          <t>Yes</t>
        </is>
      </c>
      <c r="G62" s="43" t="inlineStr">
        <is>
          <t>Alexis</t>
        </is>
      </c>
      <c r="H62" s="43" t="inlineStr">
        <is>
          <t>Opening supplies / beauty</t>
        </is>
      </c>
    </row>
    <row r="63">
      <c r="A63" s="43" t="inlineStr">
        <is>
          <t>02/17/2026</t>
        </is>
      </c>
      <c r="B63" s="43" t="inlineStr">
        <is>
          <t>ALEXIS FRANCO</t>
        </is>
      </c>
      <c r="C63" s="43" t="inlineStr">
        <is>
          <t>ULTA                BRENTWOOD           CA</t>
        </is>
      </c>
      <c r="D63" s="44" t="n">
        <v>97.88</v>
      </c>
      <c r="E63" s="43" t="inlineStr">
        <is>
          <t>Opening supplies / inventory</t>
        </is>
      </c>
      <c r="F63" s="43" t="inlineStr">
        <is>
          <t>Yes</t>
        </is>
      </c>
      <c r="G63" s="43" t="inlineStr">
        <is>
          <t>Alexis</t>
        </is>
      </c>
      <c r="H63" s="43" t="inlineStr">
        <is>
          <t>Opening supplies / beauty</t>
        </is>
      </c>
    </row>
    <row r="64">
      <c r="A64" s="43" t="inlineStr">
        <is>
          <t>02/19/2026</t>
        </is>
      </c>
      <c r="B64" s="43" t="inlineStr">
        <is>
          <t>CESAR SILVA</t>
        </is>
      </c>
      <c r="C64" s="43" t="inlineStr">
        <is>
          <t>LOWE'S              ANTIOCH             CA</t>
        </is>
      </c>
      <c r="D64" s="44" t="n">
        <v>767.13</v>
      </c>
      <c r="E64" s="43" t="inlineStr">
        <is>
          <t>Flooring / paint / finishes</t>
        </is>
      </c>
      <c r="F64" s="43" t="inlineStr">
        <is>
          <t>Yes</t>
        </is>
      </c>
      <c r="G64" s="43" t="inlineStr">
        <is>
          <t>Cesar</t>
        </is>
      </c>
      <c r="H64" s="43" t="inlineStr">
        <is>
          <t>Lowe's</t>
        </is>
      </c>
    </row>
    <row r="65">
      <c r="A65" s="43" t="inlineStr">
        <is>
          <t>02/20/2026</t>
        </is>
      </c>
      <c r="B65" s="43" t="inlineStr">
        <is>
          <t>CESAR SILVA</t>
        </is>
      </c>
      <c r="C65" s="43" t="inlineStr">
        <is>
          <t>GRANITE EXPO OUTLET 510-813-9451        CA</t>
        </is>
      </c>
      <c r="D65" s="44" t="n">
        <v>-527.09</v>
      </c>
      <c r="E65" s="43" t="inlineStr">
        <is>
          <t>Flooring / paint / finishes</t>
        </is>
      </c>
      <c r="F65" s="43" t="inlineStr">
        <is>
          <t>Yes</t>
        </is>
      </c>
      <c r="G65" s="43" t="inlineStr">
        <is>
          <t>Cesar</t>
        </is>
      </c>
      <c r="H65" s="43" t="inlineStr">
        <is>
          <t>Granite Expo</t>
        </is>
      </c>
    </row>
    <row r="66">
      <c r="A66" s="43" t="inlineStr">
        <is>
          <t>02/21/2026</t>
        </is>
      </c>
      <c r="B66" s="43" t="inlineStr">
        <is>
          <t>ALEXIS FRANCO</t>
        </is>
      </c>
      <c r="C66" s="43" t="inlineStr">
        <is>
          <t>THE HOME DEPOT      PITTSBURG           CA</t>
        </is>
      </c>
      <c r="D66" s="44" t="n">
        <v>475.18</v>
      </c>
      <c r="E66" s="43" t="inlineStr">
        <is>
          <t>Flooring / paint / finishes</t>
        </is>
      </c>
      <c r="F66" s="43" t="inlineStr">
        <is>
          <t>Yes</t>
        </is>
      </c>
      <c r="G66" s="43" t="inlineStr">
        <is>
          <t>Alexis</t>
        </is>
      </c>
      <c r="H66" s="43" t="inlineStr">
        <is>
          <t>Home Depot</t>
        </is>
      </c>
    </row>
    <row r="67">
      <c r="A67" s="43" t="inlineStr">
        <is>
          <t>02/21/2026</t>
        </is>
      </c>
      <c r="B67" s="43" t="inlineStr">
        <is>
          <t>ALEXIS FRANCO</t>
        </is>
      </c>
      <c r="C67" s="43" t="inlineStr">
        <is>
          <t>WAL-MART 2697 2697  ANTIOCH             CA</t>
        </is>
      </c>
      <c r="D67" s="44" t="n">
        <v>744.11</v>
      </c>
      <c r="E67" s="43" t="inlineStr">
        <is>
          <t>Opening supplies / inventory</t>
        </is>
      </c>
      <c r="F67" s="43" t="inlineStr">
        <is>
          <t>Yes</t>
        </is>
      </c>
      <c r="G67" s="43" t="inlineStr">
        <is>
          <t>Alexis</t>
        </is>
      </c>
      <c r="H67" s="43" t="inlineStr">
        <is>
          <t>Opening supplies / beauty</t>
        </is>
      </c>
    </row>
    <row r="68">
      <c r="A68" s="43" t="inlineStr">
        <is>
          <t>02/23/2026</t>
        </is>
      </c>
      <c r="B68" s="43" t="inlineStr">
        <is>
          <t>ALEXIS FRANCO</t>
        </is>
      </c>
      <c r="C68" s="43" t="inlineStr">
        <is>
          <t>THE HOME DEPOT      PITTSBURG           CA</t>
        </is>
      </c>
      <c r="D68" s="44" t="n">
        <v>-294.96</v>
      </c>
      <c r="E68" s="43" t="inlineStr">
        <is>
          <t>Flooring / paint / finishes</t>
        </is>
      </c>
      <c r="F68" s="43" t="inlineStr">
        <is>
          <t>Yes</t>
        </is>
      </c>
      <c r="G68" s="43" t="inlineStr">
        <is>
          <t>Alexis</t>
        </is>
      </c>
      <c r="H68" s="43" t="inlineStr">
        <is>
          <t>Home Depot</t>
        </is>
      </c>
    </row>
    <row r="69">
      <c r="A69" s="43" t="inlineStr">
        <is>
          <t>02/24/2026</t>
        </is>
      </c>
      <c r="B69" s="43" t="inlineStr">
        <is>
          <t>ALEXIS FRANCO</t>
        </is>
      </c>
      <c r="C69" s="43" t="inlineStr">
        <is>
          <t>NLJ TRADERS         GALT                CA</t>
        </is>
      </c>
      <c r="D69" s="44" t="n">
        <v>561.74</v>
      </c>
      <c r="E69" s="43" t="inlineStr">
        <is>
          <t>Other buildout</t>
        </is>
      </c>
      <c r="F69" s="43" t="inlineStr">
        <is>
          <t>Yes</t>
        </is>
      </c>
      <c r="G69" s="43" t="inlineStr">
        <is>
          <t>Alexis</t>
        </is>
      </c>
      <c r="H69" s="43" t="inlineStr">
        <is>
          <t>NLJ Traders — confirm item</t>
        </is>
      </c>
    </row>
    <row r="70">
      <c r="A70" s="43" t="inlineStr">
        <is>
          <t>02/25/2026</t>
        </is>
      </c>
      <c r="B70" s="43" t="inlineStr">
        <is>
          <t>ALEXIS FRANCO</t>
        </is>
      </c>
      <c r="C70" s="43" t="inlineStr">
        <is>
          <t>ANTIOCH ACE 6       ANTIOCH             CA</t>
        </is>
      </c>
      <c r="D70" s="44" t="n">
        <v>22.41</v>
      </c>
      <c r="E70" s="43" t="inlineStr">
        <is>
          <t>Flooring / paint / finishes</t>
        </is>
      </c>
      <c r="F70" s="43" t="inlineStr">
        <is>
          <t>Yes</t>
        </is>
      </c>
      <c r="G70" s="43" t="inlineStr">
        <is>
          <t>Alexis</t>
        </is>
      </c>
      <c r="H70" s="43" t="inlineStr">
        <is>
          <t>Ace Hardware</t>
        </is>
      </c>
    </row>
    <row r="71">
      <c r="A71" s="43" t="inlineStr">
        <is>
          <t>02/25/2026</t>
        </is>
      </c>
      <c r="B71" s="43" t="inlineStr">
        <is>
          <t>CESAR SILVA</t>
        </is>
      </c>
      <c r="C71" s="43" t="inlineStr">
        <is>
          <t>AplPay IN *CONCORD GANTIOCH             CA</t>
        </is>
      </c>
      <c r="D71" s="44" t="n">
        <v>1000</v>
      </c>
      <c r="E71" s="43" t="inlineStr">
        <is>
          <t>Plumbing / electrical / HVAC</t>
        </is>
      </c>
      <c r="F71" s="43" t="inlineStr">
        <is>
          <t>Yes</t>
        </is>
      </c>
      <c r="G71" s="43" t="inlineStr">
        <is>
          <t>Cesar</t>
        </is>
      </c>
      <c r="H71" s="43" t="inlineStr">
        <is>
          <t>Concord Glass — shop glass</t>
        </is>
      </c>
    </row>
    <row r="72">
      <c r="A72" s="43" t="inlineStr">
        <is>
          <t>02/26/2026</t>
        </is>
      </c>
      <c r="B72" s="43" t="inlineStr">
        <is>
          <t>CESAR SILVA</t>
        </is>
      </c>
      <c r="C72" s="43" t="inlineStr">
        <is>
          <t>CANVA* I04804-671554CAMDEN              DE</t>
        </is>
      </c>
      <c r="D72" s="44" t="n">
        <v>115.07</v>
      </c>
      <c r="E72" s="43" t="inlineStr">
        <is>
          <t>Signage / exterior / branding</t>
        </is>
      </c>
      <c r="F72" s="43" t="inlineStr">
        <is>
          <t>Yes</t>
        </is>
      </c>
      <c r="G72" s="43" t="inlineStr">
        <is>
          <t>Cesar</t>
        </is>
      </c>
      <c r="H72" s="43" t="inlineStr">
        <is>
          <t>Branding / print</t>
        </is>
      </c>
    </row>
    <row r="73">
      <c r="A73" s="43" t="inlineStr">
        <is>
          <t>02/27/2026</t>
        </is>
      </c>
      <c r="B73" s="43" t="inlineStr">
        <is>
          <t>CESAR SILVA</t>
        </is>
      </c>
      <c r="C73" s="43" t="inlineStr">
        <is>
          <t>AplPay GRANITE EXPO 510-813-9451        CA</t>
        </is>
      </c>
      <c r="D73" s="44" t="n">
        <v>39.88</v>
      </c>
      <c r="E73" s="43" t="inlineStr">
        <is>
          <t>Flooring / paint / finishes</t>
        </is>
      </c>
      <c r="F73" s="43" t="inlineStr">
        <is>
          <t>Yes</t>
        </is>
      </c>
      <c r="G73" s="43" t="inlineStr">
        <is>
          <t>Cesar</t>
        </is>
      </c>
      <c r="H73" s="43" t="inlineStr">
        <is>
          <t>Granite Expo</t>
        </is>
      </c>
    </row>
    <row r="74">
      <c r="A74" s="43" t="inlineStr">
        <is>
          <t>02/27/2026</t>
        </is>
      </c>
      <c r="B74" s="43" t="inlineStr">
        <is>
          <t>ALEXIS FRANCO</t>
        </is>
      </c>
      <c r="C74" s="43" t="inlineStr">
        <is>
          <t>SALONCENTRIC        BRENTWOOD           CA</t>
        </is>
      </c>
      <c r="D74" s="44" t="n">
        <v>47.36</v>
      </c>
      <c r="E74" s="43" t="inlineStr">
        <is>
          <t>Opening supplies / inventory</t>
        </is>
      </c>
      <c r="F74" s="43" t="inlineStr">
        <is>
          <t>Yes</t>
        </is>
      </c>
      <c r="G74" s="43" t="inlineStr">
        <is>
          <t>Alexis</t>
        </is>
      </c>
      <c r="H74" s="43" t="inlineStr">
        <is>
          <t>Opening supplies / beauty</t>
        </is>
      </c>
    </row>
    <row r="75">
      <c r="A75" s="43" t="inlineStr">
        <is>
          <t>02/27/2026</t>
        </is>
      </c>
      <c r="B75" s="43" t="inlineStr">
        <is>
          <t>ALEXIS FRANCO</t>
        </is>
      </c>
      <c r="C75" s="43" t="inlineStr">
        <is>
          <t>WAL-MART 1615 1615  PITTSBURG           CA</t>
        </is>
      </c>
      <c r="D75" s="44" t="n">
        <v>29.43</v>
      </c>
      <c r="E75" s="43" t="inlineStr">
        <is>
          <t>Opening supplies / inventory</t>
        </is>
      </c>
      <c r="F75" s="43" t="inlineStr">
        <is>
          <t>Yes</t>
        </is>
      </c>
      <c r="G75" s="43" t="inlineStr">
        <is>
          <t>Alexis</t>
        </is>
      </c>
      <c r="H75" s="43" t="inlineStr">
        <is>
          <t>Opening supplies / beauty</t>
        </is>
      </c>
    </row>
    <row r="76">
      <c r="A76" s="43" t="inlineStr">
        <is>
          <t>02/27/2026</t>
        </is>
      </c>
      <c r="B76" s="43" t="inlineStr">
        <is>
          <t>ALEXIS FRANCO</t>
        </is>
      </c>
      <c r="C76" s="43" t="inlineStr">
        <is>
          <t>WAL-MART 1615 1615  PITTSBURG           CA</t>
        </is>
      </c>
      <c r="D76" s="44" t="n">
        <v>58.57</v>
      </c>
      <c r="E76" s="43" t="inlineStr">
        <is>
          <t>Opening supplies / inventory</t>
        </is>
      </c>
      <c r="F76" s="43" t="inlineStr">
        <is>
          <t>Yes</t>
        </is>
      </c>
      <c r="G76" s="43" t="inlineStr">
        <is>
          <t>Alexis</t>
        </is>
      </c>
      <c r="H76" s="43" t="inlineStr">
        <is>
          <t>Opening supplies / beauty</t>
        </is>
      </c>
    </row>
    <row r="77">
      <c r="A77" s="43" t="inlineStr">
        <is>
          <t>03/01/2026</t>
        </is>
      </c>
      <c r="B77" s="43" t="inlineStr">
        <is>
          <t>CESAR SILVA</t>
        </is>
      </c>
      <c r="C77" s="43" t="inlineStr">
        <is>
          <t>AMAZON MARKEPLACE NA PA</t>
        </is>
      </c>
      <c r="D77" s="44" t="n">
        <v>72.42</v>
      </c>
      <c r="E77" s="43" t="inlineStr">
        <is>
          <t>Other buildout</t>
        </is>
      </c>
      <c r="F77" s="43" t="inlineStr">
        <is>
          <t>Yes</t>
        </is>
      </c>
      <c r="G77" s="43" t="inlineStr">
        <is>
          <t>Cesar</t>
        </is>
      </c>
      <c r="H77" s="43" t="inlineStr">
        <is>
          <t>Amazon — mostly shop setup (spot-check)</t>
        </is>
      </c>
    </row>
    <row r="78">
      <c r="A78" s="43" t="inlineStr">
        <is>
          <t>03/01/2026</t>
        </is>
      </c>
      <c r="B78" s="43" t="inlineStr">
        <is>
          <t>CESAR SILVA</t>
        </is>
      </c>
      <c r="C78" s="43" t="inlineStr">
        <is>
          <t>AMAZON MARKEPLACE NA PA</t>
        </is>
      </c>
      <c r="D78" s="44" t="n">
        <v>133.82</v>
      </c>
      <c r="E78" s="43" t="inlineStr">
        <is>
          <t>Other buildout</t>
        </is>
      </c>
      <c r="F78" s="43" t="inlineStr">
        <is>
          <t>Yes</t>
        </is>
      </c>
      <c r="G78" s="43" t="inlineStr">
        <is>
          <t>Cesar</t>
        </is>
      </c>
      <c r="H78" s="43" t="inlineStr">
        <is>
          <t>Amazon — mostly shop setup (spot-check)</t>
        </is>
      </c>
    </row>
    <row r="79">
      <c r="A79" s="43" t="inlineStr">
        <is>
          <t>03/01/2026</t>
        </is>
      </c>
      <c r="B79" s="43" t="inlineStr">
        <is>
          <t>CESAR SILVA</t>
        </is>
      </c>
      <c r="C79" s="43" t="inlineStr">
        <is>
          <t>AMAZON MARKEPLACE NA PA</t>
        </is>
      </c>
      <c r="D79" s="44" t="n">
        <v>193.15</v>
      </c>
      <c r="E79" s="43" t="inlineStr">
        <is>
          <t>Other buildout</t>
        </is>
      </c>
      <c r="F79" s="43" t="inlineStr">
        <is>
          <t>Yes</t>
        </is>
      </c>
      <c r="G79" s="43" t="inlineStr">
        <is>
          <t>Cesar</t>
        </is>
      </c>
      <c r="H79" s="43" t="inlineStr">
        <is>
          <t>Amazon — mostly shop setup (spot-check)</t>
        </is>
      </c>
    </row>
    <row r="80">
      <c r="A80" s="43" t="inlineStr">
        <is>
          <t>03/01/2026</t>
        </is>
      </c>
      <c r="B80" s="43" t="inlineStr">
        <is>
          <t>CESAR SILVA</t>
        </is>
      </c>
      <c r="C80" s="43" t="inlineStr">
        <is>
          <t>AMAZON MARKEPLACE NA PA</t>
        </is>
      </c>
      <c r="D80" s="44" t="n">
        <v>261.17</v>
      </c>
      <c r="E80" s="43" t="inlineStr">
        <is>
          <t>Other buildout</t>
        </is>
      </c>
      <c r="F80" s="43" t="inlineStr">
        <is>
          <t>Yes</t>
        </is>
      </c>
      <c r="G80" s="43" t="inlineStr">
        <is>
          <t>Cesar</t>
        </is>
      </c>
      <c r="H80" s="43" t="inlineStr">
        <is>
          <t>Amazon — mostly shop setup (spot-check)</t>
        </is>
      </c>
    </row>
    <row r="81">
      <c r="A81" s="43" t="inlineStr">
        <is>
          <t>03/02/2026</t>
        </is>
      </c>
      <c r="B81" s="43" t="inlineStr">
        <is>
          <t>ALEXIS FRANCO</t>
        </is>
      </c>
      <c r="C81" s="43" t="inlineStr">
        <is>
          <t>WAL-MART 2697 2697  ANTIOCH             CA</t>
        </is>
      </c>
      <c r="D81" s="44" t="n">
        <v>60.5</v>
      </c>
      <c r="E81" s="43" t="inlineStr">
        <is>
          <t>Opening supplies / inventory</t>
        </is>
      </c>
      <c r="F81" s="43" t="inlineStr">
        <is>
          <t>Yes</t>
        </is>
      </c>
      <c r="G81" s="43" t="inlineStr">
        <is>
          <t>Alexis</t>
        </is>
      </c>
      <c r="H81" s="43" t="inlineStr">
        <is>
          <t>Opening supplies / beauty</t>
        </is>
      </c>
    </row>
    <row r="82">
      <c r="A82" s="43" t="inlineStr">
        <is>
          <t>03/03/2026</t>
        </is>
      </c>
      <c r="B82" s="43" t="inlineStr">
        <is>
          <t>ALEXIS FRANCO</t>
        </is>
      </c>
      <c r="C82" s="43" t="inlineStr">
        <is>
          <t>HOBBY LOBBY         ANTIOCH             CA</t>
        </is>
      </c>
      <c r="D82" s="44" t="n">
        <v>51.94</v>
      </c>
      <c r="E82" s="43" t="inlineStr">
        <is>
          <t>Waiting area / furniture</t>
        </is>
      </c>
      <c r="F82" s="43" t="inlineStr">
        <is>
          <t>Yes</t>
        </is>
      </c>
      <c r="G82" s="43" t="inlineStr">
        <is>
          <t>Alexis</t>
        </is>
      </c>
      <c r="H82" s="43" t="inlineStr">
        <is>
          <t>Decor / waiting area</t>
        </is>
      </c>
    </row>
    <row r="83">
      <c r="A83" s="43" t="inlineStr">
        <is>
          <t>03/03/2026</t>
        </is>
      </c>
      <c r="B83" s="43" t="inlineStr">
        <is>
          <t>ALEXIS FRANCO</t>
        </is>
      </c>
      <c r="C83" s="43" t="inlineStr">
        <is>
          <t>WAL-MART 2697 2697  ANTIOCH             CA</t>
        </is>
      </c>
      <c r="D83" s="44" t="n">
        <v>10.68</v>
      </c>
      <c r="E83" s="43" t="inlineStr">
        <is>
          <t>Opening supplies / inventory</t>
        </is>
      </c>
      <c r="F83" s="43" t="inlineStr">
        <is>
          <t>Yes</t>
        </is>
      </c>
      <c r="G83" s="43" t="inlineStr">
        <is>
          <t>Alexis</t>
        </is>
      </c>
      <c r="H83" s="43" t="inlineStr">
        <is>
          <t>Opening supplies / beauty</t>
        </is>
      </c>
    </row>
    <row r="84">
      <c r="A84" s="43" t="inlineStr">
        <is>
          <t>03/03/2026</t>
        </is>
      </c>
      <c r="B84" s="43" t="inlineStr">
        <is>
          <t>ALEXIS FRANCO</t>
        </is>
      </c>
      <c r="C84" s="43" t="inlineStr">
        <is>
          <t>WAL-MART 2697 2697  ANTIOCH             CA</t>
        </is>
      </c>
      <c r="D84" s="44" t="n">
        <v>58.75</v>
      </c>
      <c r="E84" s="43" t="inlineStr">
        <is>
          <t>Opening supplies / inventory</t>
        </is>
      </c>
      <c r="F84" s="43" t="inlineStr">
        <is>
          <t>Yes</t>
        </is>
      </c>
      <c r="G84" s="43" t="inlineStr">
        <is>
          <t>Alexis</t>
        </is>
      </c>
      <c r="H84" s="43" t="inlineStr">
        <is>
          <t>Opening supplies / beauty</t>
        </is>
      </c>
    </row>
    <row r="85">
      <c r="A85" s="43" t="inlineStr">
        <is>
          <t>03/04/2026</t>
        </is>
      </c>
      <c r="B85" s="43" t="inlineStr">
        <is>
          <t>ALEXIS FRANCO</t>
        </is>
      </c>
      <c r="C85" s="43" t="inlineStr">
        <is>
          <t>AMAZON MARKEPLACE NA PA</t>
        </is>
      </c>
      <c r="D85" s="44" t="n">
        <v>63.06</v>
      </c>
      <c r="E85" s="43" t="inlineStr">
        <is>
          <t>Other buildout</t>
        </is>
      </c>
      <c r="F85" s="43" t="inlineStr">
        <is>
          <t>Yes</t>
        </is>
      </c>
      <c r="G85" s="43" t="inlineStr">
        <is>
          <t>Alexis</t>
        </is>
      </c>
      <c r="H85" s="43" t="inlineStr">
        <is>
          <t>Amazon — mostly shop setup (spot-check)</t>
        </is>
      </c>
    </row>
    <row r="86">
      <c r="A86" s="43" t="inlineStr">
        <is>
          <t>03/04/2026</t>
        </is>
      </c>
      <c r="B86" s="43" t="inlineStr">
        <is>
          <t>ALEXIS FRANCO</t>
        </is>
      </c>
      <c r="C86" s="43" t="inlineStr">
        <is>
          <t>AMAZON MARKEPLACE NA PA</t>
        </is>
      </c>
      <c r="D86" s="44" t="n">
        <v>87.7</v>
      </c>
      <c r="E86" s="43" t="inlineStr">
        <is>
          <t>Other buildout</t>
        </is>
      </c>
      <c r="F86" s="43" t="inlineStr">
        <is>
          <t>Yes</t>
        </is>
      </c>
      <c r="G86" s="43" t="inlineStr">
        <is>
          <t>Alexis</t>
        </is>
      </c>
      <c r="H86" s="43" t="inlineStr">
        <is>
          <t>Amazon — mostly shop setup (spot-check)</t>
        </is>
      </c>
    </row>
    <row r="87">
      <c r="A87" s="43" t="inlineStr">
        <is>
          <t>03/04/2026</t>
        </is>
      </c>
      <c r="B87" s="43" t="inlineStr">
        <is>
          <t>ALEXIS FRANCO</t>
        </is>
      </c>
      <c r="C87" s="43" t="inlineStr">
        <is>
          <t>THE HOME DEPOT      BRENTWOOD           CA</t>
        </is>
      </c>
      <c r="D87" s="44" t="n">
        <v>144.74</v>
      </c>
      <c r="E87" s="43" t="inlineStr">
        <is>
          <t>Flooring / paint / finishes</t>
        </is>
      </c>
      <c r="F87" s="43" t="inlineStr">
        <is>
          <t>Yes</t>
        </is>
      </c>
      <c r="G87" s="43" t="inlineStr">
        <is>
          <t>Alexis</t>
        </is>
      </c>
      <c r="H87" s="43" t="inlineStr">
        <is>
          <t>Home Depot</t>
        </is>
      </c>
    </row>
    <row r="88">
      <c r="A88" s="43" t="inlineStr">
        <is>
          <t>03/05/2026</t>
        </is>
      </c>
      <c r="B88" s="43" t="inlineStr">
        <is>
          <t>ALEXIS FRANCO</t>
        </is>
      </c>
      <c r="C88" s="43" t="inlineStr">
        <is>
          <t>AMAZON MARKEPLACE NA PA</t>
        </is>
      </c>
      <c r="D88" s="44" t="n">
        <v>15.35</v>
      </c>
      <c r="E88" s="43" t="inlineStr">
        <is>
          <t>Other buildout</t>
        </is>
      </c>
      <c r="F88" s="43" t="inlineStr">
        <is>
          <t>Yes</t>
        </is>
      </c>
      <c r="G88" s="43" t="inlineStr">
        <is>
          <t>Alexis</t>
        </is>
      </c>
      <c r="H88" s="43" t="inlineStr">
        <is>
          <t>Amazon — mostly shop setup (spot-check)</t>
        </is>
      </c>
    </row>
    <row r="89">
      <c r="A89" s="43" t="inlineStr">
        <is>
          <t>03/05/2026</t>
        </is>
      </c>
      <c r="B89" s="43" t="inlineStr">
        <is>
          <t>CESAR SILVA</t>
        </is>
      </c>
      <c r="C89" s="43" t="inlineStr">
        <is>
          <t>AplPay IN *CONCORD GANTIOCH             CA</t>
        </is>
      </c>
      <c r="D89" s="44" t="n">
        <v>1609.06</v>
      </c>
      <c r="E89" s="43" t="inlineStr">
        <is>
          <t>Plumbing / electrical / HVAC</t>
        </is>
      </c>
      <c r="F89" s="43" t="inlineStr">
        <is>
          <t>Yes</t>
        </is>
      </c>
      <c r="G89" s="43" t="inlineStr">
        <is>
          <t>Cesar</t>
        </is>
      </c>
      <c r="H89" s="43" t="inlineStr">
        <is>
          <t>Concord Glass — shop glass</t>
        </is>
      </c>
    </row>
    <row r="90">
      <c r="A90" s="43" t="inlineStr">
        <is>
          <t>03/05/2026</t>
        </is>
      </c>
      <c r="B90" s="43" t="inlineStr">
        <is>
          <t>ALEXIS FRANCO</t>
        </is>
      </c>
      <c r="C90" s="43" t="inlineStr">
        <is>
          <t>IN *FNR CONSULTING GSACRAMENTO          CA</t>
        </is>
      </c>
      <c r="D90" s="44" t="n">
        <v>2350</v>
      </c>
      <c r="E90" s="43" t="inlineStr">
        <is>
          <t>Construction / contractor / permits</t>
        </is>
      </c>
      <c r="F90" s="43" t="inlineStr">
        <is>
          <t>Yes</t>
        </is>
      </c>
      <c r="G90" s="43" t="inlineStr">
        <is>
          <t>Alexis</t>
        </is>
      </c>
      <c r="H90" s="43" t="inlineStr">
        <is>
          <t>FNR consulting / contractor</t>
        </is>
      </c>
    </row>
    <row r="91">
      <c r="A91" s="43" t="inlineStr">
        <is>
          <t>03/05/2026</t>
        </is>
      </c>
      <c r="B91" s="43" t="inlineStr">
        <is>
          <t>ALEXIS FRANCO</t>
        </is>
      </c>
      <c r="C91" s="43" t="inlineStr">
        <is>
          <t>TARGET        018192ANTIOCH             CA</t>
        </is>
      </c>
      <c r="D91" s="44" t="n">
        <v>58.16</v>
      </c>
      <c r="E91" s="43" t="inlineStr">
        <is>
          <t>Opening supplies / inventory</t>
        </is>
      </c>
      <c r="F91" s="43" t="inlineStr">
        <is>
          <t>Yes</t>
        </is>
      </c>
      <c r="G91" s="43" t="inlineStr">
        <is>
          <t>Alexis</t>
        </is>
      </c>
      <c r="H91" s="43" t="inlineStr">
        <is>
          <t>Opening supplies / beauty</t>
        </is>
      </c>
    </row>
    <row r="92">
      <c r="A92" s="43" t="inlineStr">
        <is>
          <t>03/07/2026</t>
        </is>
      </c>
      <c r="B92" s="43" t="inlineStr">
        <is>
          <t>ALEXIS FRANCO</t>
        </is>
      </c>
      <c r="C92" s="43" t="inlineStr">
        <is>
          <t>FEDEX OFFICE        BRENTWOOD           CA</t>
        </is>
      </c>
      <c r="D92" s="44" t="n">
        <v>45.13</v>
      </c>
      <c r="E92" s="43" t="inlineStr">
        <is>
          <t>Signage / exterior / branding</t>
        </is>
      </c>
      <c r="F92" s="43" t="inlineStr">
        <is>
          <t>Yes</t>
        </is>
      </c>
      <c r="G92" s="43" t="inlineStr">
        <is>
          <t>Alexis</t>
        </is>
      </c>
      <c r="H92" s="43" t="inlineStr">
        <is>
          <t>Branding / print</t>
        </is>
      </c>
    </row>
    <row r="93">
      <c r="A93" s="43" t="inlineStr">
        <is>
          <t>03/07/2026</t>
        </is>
      </c>
      <c r="B93" s="43" t="inlineStr">
        <is>
          <t>ALEXIS FRANCO</t>
        </is>
      </c>
      <c r="C93" s="43" t="inlineStr">
        <is>
          <t>HOBBY LOBBY         ANTIOCH             CA</t>
        </is>
      </c>
      <c r="D93" s="44" t="n">
        <v>66.91</v>
      </c>
      <c r="E93" s="43" t="inlineStr">
        <is>
          <t>Waiting area / furniture</t>
        </is>
      </c>
      <c r="F93" s="43" t="inlineStr">
        <is>
          <t>Yes</t>
        </is>
      </c>
      <c r="G93" s="43" t="inlineStr">
        <is>
          <t>Alexis</t>
        </is>
      </c>
      <c r="H93" s="43" t="inlineStr">
        <is>
          <t>Decor / waiting area</t>
        </is>
      </c>
    </row>
    <row r="94">
      <c r="A94" s="43" t="inlineStr">
        <is>
          <t>03/07/2026</t>
        </is>
      </c>
      <c r="B94" s="43" t="inlineStr">
        <is>
          <t>ALEXIS FRANCO</t>
        </is>
      </c>
      <c r="C94" s="43" t="inlineStr">
        <is>
          <t>SAM'S CLUB 6612 6612CONCORD             CA</t>
        </is>
      </c>
      <c r="D94" s="44" t="n">
        <v>339.49</v>
      </c>
      <c r="E94" s="43" t="inlineStr">
        <is>
          <t>Opening supplies / inventory</t>
        </is>
      </c>
      <c r="F94" s="43" t="inlineStr">
        <is>
          <t>Yes</t>
        </is>
      </c>
      <c r="G94" s="43" t="inlineStr">
        <is>
          <t>Alexis</t>
        </is>
      </c>
      <c r="H94" s="43" t="inlineStr">
        <is>
          <t>Opening supplies / beauty</t>
        </is>
      </c>
    </row>
    <row r="95">
      <c r="A95" s="43" t="inlineStr">
        <is>
          <t>03/07/2026</t>
        </is>
      </c>
      <c r="B95" s="43" t="inlineStr">
        <is>
          <t>CESAR SILVA</t>
        </is>
      </c>
      <c r="C95" s="43" t="inlineStr">
        <is>
          <t>THE HOME DEPOT      PITTSBURG           CA</t>
        </is>
      </c>
      <c r="D95" s="44" t="n">
        <v>22.92</v>
      </c>
      <c r="E95" s="43" t="inlineStr">
        <is>
          <t>Flooring / paint / finishes</t>
        </is>
      </c>
      <c r="F95" s="43" t="inlineStr">
        <is>
          <t>Yes</t>
        </is>
      </c>
      <c r="G95" s="43" t="inlineStr">
        <is>
          <t>Cesar</t>
        </is>
      </c>
      <c r="H95" s="43" t="inlineStr">
        <is>
          <t>Home Depot</t>
        </is>
      </c>
    </row>
    <row r="96">
      <c r="A96" s="43" t="inlineStr">
        <is>
          <t>03/07/2026</t>
        </is>
      </c>
      <c r="B96" s="43" t="inlineStr">
        <is>
          <t>ALEXIS FRANCO</t>
        </is>
      </c>
      <c r="C96" s="43" t="inlineStr">
        <is>
          <t>WAL-MART 2697 2697  ANTIOCH             CA</t>
        </is>
      </c>
      <c r="D96" s="44" t="n">
        <v>108.54</v>
      </c>
      <c r="E96" s="43" t="inlineStr">
        <is>
          <t>Opening supplies / inventory</t>
        </is>
      </c>
      <c r="F96" s="43" t="inlineStr">
        <is>
          <t>Yes</t>
        </is>
      </c>
      <c r="G96" s="43" t="inlineStr">
        <is>
          <t>Alexis</t>
        </is>
      </c>
      <c r="H96" s="43" t="inlineStr">
        <is>
          <t>Opening supplies / beauty</t>
        </is>
      </c>
    </row>
    <row r="97">
      <c r="A97" s="43" t="inlineStr">
        <is>
          <t>03/08/2026</t>
        </is>
      </c>
      <c r="B97" s="43" t="inlineStr">
        <is>
          <t>CESAR SILVA</t>
        </is>
      </c>
      <c r="C97" s="43" t="inlineStr">
        <is>
          <t>AplPay ANTIOCH ACE 6ANTIOCH             CA</t>
        </is>
      </c>
      <c r="D97" s="44" t="n">
        <v>49.38</v>
      </c>
      <c r="E97" s="43" t="inlineStr">
        <is>
          <t>Flooring / paint / finishes</t>
        </is>
      </c>
      <c r="F97" s="43" t="inlineStr">
        <is>
          <t>Yes</t>
        </is>
      </c>
      <c r="G97" s="43" t="inlineStr">
        <is>
          <t>Cesar</t>
        </is>
      </c>
      <c r="H97" s="43" t="inlineStr">
        <is>
          <t>Ace Hardware</t>
        </is>
      </c>
    </row>
    <row r="98">
      <c r="A98" s="45" t="inlineStr">
        <is>
          <t>2026-02/03</t>
        </is>
      </c>
      <c r="B98" s="45" t="inlineStr">
        <is>
          <t>Alexis (cash/transfer)</t>
        </is>
      </c>
      <c r="C98" s="45" t="inlineStr">
        <is>
          <t>Cash/transfer so Alexis can pay contractor</t>
        </is>
      </c>
      <c r="D98" s="40" t="n">
        <v>11600</v>
      </c>
      <c r="E98" s="45" t="inlineStr">
        <is>
          <t>Construction / contractor / permits</t>
        </is>
      </c>
      <c r="F98" s="45" t="inlineStr">
        <is>
          <t>Yes</t>
        </is>
      </c>
      <c r="G98" s="45" t="inlineStr">
        <is>
          <t>Split 50/50</t>
        </is>
      </c>
      <c r="H98" s="45" t="inlineStr">
        <is>
          <t>Full $11,600 is buildout; economic split Cesar $5,800 / Partner $5,800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</cols>
  <sheetData>
    <row r="1">
      <c r="A1" s="1" t="inlineStr">
        <is>
          <t>How much of YOUR revenue paid rent &amp; expenses?</t>
        </is>
      </c>
    </row>
    <row r="2" ht="40" customHeight="1">
      <c r="A2" s="4" t="inlineStr">
        <is>
          <t>Rule: ownership = capital = 75% Cesar / 25% Omi. Bills come out of the shop account first. Your revenue toward rent = your 75% share of the revenue that covered bills.</t>
        </is>
      </c>
    </row>
    <row r="4">
      <c r="A4" s="2" t="inlineStr">
        <is>
          <t>INPUTS (yellow = edit)</t>
        </is>
      </c>
    </row>
    <row r="5">
      <c r="A5" s="5" t="inlineStr">
        <is>
          <t>Input</t>
        </is>
      </c>
      <c r="B5" s="5" t="inlineStr">
        <is>
          <t>Amount</t>
        </is>
      </c>
      <c r="C5" s="5" t="inlineStr">
        <is>
          <t>Notes</t>
        </is>
      </c>
    </row>
    <row r="6">
      <c r="A6" s="6" t="inlineStr">
        <is>
          <t>Monthly rent</t>
        </is>
      </c>
      <c r="B6" s="7">
        <f>Assumptions!B21</f>
        <v/>
      </c>
      <c r="C6" s="6" t="inlineStr">
        <is>
          <t>$1,700</t>
        </is>
      </c>
    </row>
    <row r="7">
      <c r="A7" s="6" t="inlineStr">
        <is>
          <t>Other monthly expenses</t>
        </is>
      </c>
      <c r="B7" s="7">
        <f>Assumptions!B22</f>
        <v/>
      </c>
      <c r="C7" s="6" t="inlineStr">
        <is>
          <t>~$800</t>
        </is>
      </c>
    </row>
    <row r="8">
      <c r="A8" s="6" t="inlineStr">
        <is>
          <t>Months paying from account</t>
        </is>
      </c>
      <c r="B8" s="8">
        <f>Assumptions!B25</f>
        <v/>
      </c>
      <c r="C8" s="6" t="inlineStr">
        <is>
          <t>~6</t>
        </is>
      </c>
    </row>
    <row r="9">
      <c r="A9" s="9" t="inlineStr">
        <is>
          <t>Total shop revenue (all months)</t>
        </is>
      </c>
      <c r="B9" s="10" t="n">
        <v>15000</v>
      </c>
      <c r="C9" s="6" t="inlineStr">
        <is>
          <t>Default $15,000 = break-even (= burn). Replace with real deposits if different.</t>
        </is>
      </c>
    </row>
    <row r="10">
      <c r="A10" s="6" t="inlineStr">
        <is>
          <t>Optional: YOUR personal chair $ deposited</t>
        </is>
      </c>
      <c r="B10" s="10" t="n">
        <v>0</v>
      </c>
      <c r="C10" s="6" t="inlineStr">
        <is>
          <t>Leave 0 to use 75% of shop revenue. Fill only if you track your cuts separately.</t>
        </is>
      </c>
    </row>
    <row r="12">
      <c r="A12" s="2" t="inlineStr">
        <is>
          <t>RESULTS — revenue that paid the bills</t>
        </is>
      </c>
    </row>
    <row r="13">
      <c r="A13" s="5" t="inlineStr">
        <is>
          <t>What</t>
        </is>
      </c>
      <c r="B13" s="5" t="inlineStr">
        <is>
          <t>Amount</t>
        </is>
      </c>
      <c r="C13" s="5" t="inlineStr">
        <is>
          <t>Meaning</t>
        </is>
      </c>
    </row>
    <row r="14">
      <c r="A14" s="6" t="inlineStr">
        <is>
          <t>Total rent + expenses (burn)</t>
        </is>
      </c>
      <c r="B14" s="7">
        <f>(B6+B7)*B8</f>
        <v/>
      </c>
      <c r="C14" s="6" t="inlineStr">
        <is>
          <t>What left the shop account for bills</t>
        </is>
      </c>
    </row>
    <row r="15">
      <c r="A15" s="6" t="inlineStr">
        <is>
          <t>Shop revenue used to cover bills</t>
        </is>
      </c>
      <c r="B15" s="7">
        <f>MIN(B9,B14)</f>
        <v/>
      </c>
      <c r="C15" s="6" t="inlineStr">
        <is>
          <t>Revenue applied to bills (capped at burn)</t>
        </is>
      </c>
    </row>
    <row r="16">
      <c r="A16" s="9" t="inlineStr">
        <is>
          <t>YOUR revenue that paid rent/expenses (75%)</t>
        </is>
      </c>
      <c r="B16" s="11">
        <f>B15*Assumptions!B5</f>
        <v/>
      </c>
      <c r="C16" s="6" t="inlineStr">
        <is>
          <t>THE NUMBER — your ownership share of revenue that covered bills</t>
        </is>
      </c>
    </row>
    <row r="17">
      <c r="A17" s="6" t="inlineStr">
        <is>
          <t>OMI's revenue that paid rent/expenses (25%)</t>
        </is>
      </c>
      <c r="B17" s="7">
        <f>B15*Assumptions!C5</f>
        <v/>
      </c>
      <c r="C17" s="6" t="inlineStr">
        <is>
          <t>His ownership share of revenue that covered bills</t>
        </is>
      </c>
    </row>
    <row r="18">
      <c r="A18" s="6" t="inlineStr">
        <is>
          <t>Leftover after bills (shop-level)</t>
        </is>
      </c>
      <c r="B18" s="7">
        <f>B9-B14</f>
        <v/>
      </c>
      <c r="C18" s="6" t="inlineStr">
        <is>
          <t>~$0 at break-even = no draw</t>
        </is>
      </c>
    </row>
    <row r="19">
      <c r="A19" s="6" t="inlineStr">
        <is>
          <t>Your possible draw (75% of leftover)</t>
        </is>
      </c>
      <c r="B19" s="7">
        <f>MAX(0,B18)*Assumptions!B5</f>
        <v/>
      </c>
      <c r="C19" s="6" t="inlineStr">
        <is>
          <t>Why it feels like $0 take-home right now</t>
        </is>
      </c>
    </row>
    <row r="20">
      <c r="A20" s="6" t="inlineStr">
        <is>
          <t>Chair-deposit version (only if B10 &gt; 0)</t>
        </is>
      </c>
      <c r="B20" s="7">
        <f>IF(B10&gt;0,MIN(B10,B14*Assumptions!B5),B16)</f>
        <v/>
      </c>
      <c r="C20" s="6" t="inlineStr">
        <is>
          <t>Optional alternate if you track personal cuts</t>
        </is>
      </c>
    </row>
    <row r="22">
      <c r="A22" s="2" t="inlineStr">
        <is>
          <t>Monthly going forward (75/25)</t>
        </is>
      </c>
    </row>
    <row r="23">
      <c r="A23" s="6" t="inlineStr">
        <is>
          <t>Monthly burn</t>
        </is>
      </c>
      <c r="B23" s="7">
        <f>B6+B7</f>
        <v/>
      </c>
    </row>
    <row r="24">
      <c r="A24" s="6" t="inlineStr">
        <is>
          <t>You cover (75%)</t>
        </is>
      </c>
      <c r="B24" s="7">
        <f>B23*Assumptions!B5</f>
        <v/>
      </c>
    </row>
    <row r="25">
      <c r="A25" s="6" t="inlineStr">
        <is>
          <t>Omi covers (25%)</t>
        </is>
      </c>
      <c r="B25" s="12">
        <f>B23*Assumptions!C5</f>
        <v/>
      </c>
    </row>
    <row r="27">
      <c r="A27" s="2" t="inlineStr">
        <is>
          <t>How to read this</t>
        </is>
      </c>
    </row>
    <row r="28" ht="75" customHeight="1">
      <c r="A28" s="13" t="inlineStr">
        <is>
          <t>At break-even, shop revenue ≈ rent+expenses. No leftover to take home.
Your 75% ownership means ~75% of that revenue was your economic share — and it paid bills.
On the $15k / 6-month ballpark: about $11,250 of YOUR revenue went to rent &amp; expenses.
Omi's 25% ≈ $3,750. Going forward he should fund ~$625/mo (25% of $2,500).</t>
        </is>
      </c>
    </row>
  </sheetData>
  <mergeCells count="3">
    <mergeCell ref="A1:C1"/>
    <mergeCell ref="A28:C2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42" customWidth="1" min="4" max="4"/>
    <col width="14" customWidth="1" min="5" max="5"/>
    <col width="14" customWidth="1" min="6" max="6"/>
  </cols>
  <sheetData>
    <row r="1">
      <c r="A1" s="1" t="inlineStr">
        <is>
          <t>The Barber Lounge — Partnership Economics</t>
        </is>
      </c>
    </row>
    <row r="2" ht="36" customHeight="1">
      <c r="A2" s="19" t="inlineStr">
        <is>
          <t>Ownership locked to capital: Cesar 75% / Omi 25% ($45k / $15k). YourMoney shows how much of YOUR revenue share paid rent and expenses.</t>
        </is>
      </c>
    </row>
    <row r="4">
      <c r="A4" s="2" t="inlineStr">
        <is>
          <t>HOW TO USE</t>
        </is>
      </c>
    </row>
    <row r="5" ht="48" customHeight="1">
      <c r="A5" s="13" t="inlineStr">
        <is>
          <t>Yellow cells are editable inputs. Green cells are calculated. Update Assumptions, then fill Monthly Tracker with real months. True-Up shows what Partner owes Cesar under a fair ownership split.</t>
        </is>
      </c>
    </row>
    <row r="7">
      <c r="A7" s="2" t="inlineStr">
        <is>
          <t>OWNERSHIP SNAPSHOT</t>
        </is>
      </c>
    </row>
    <row r="8">
      <c r="A8" s="5" t="inlineStr"/>
      <c r="B8" s="5" t="inlineStr">
        <is>
          <t>Cesar (You)</t>
        </is>
      </c>
      <c r="C8" s="5" t="inlineStr">
        <is>
          <t>Partner</t>
        </is>
      </c>
      <c r="D8" s="5" t="inlineStr">
        <is>
          <t>Total / Note</t>
        </is>
      </c>
    </row>
    <row r="9">
      <c r="A9" s="14" t="inlineStr">
        <is>
          <t>Ownership %</t>
        </is>
      </c>
      <c r="B9" s="20">
        <f>Assumptions!B5</f>
        <v/>
      </c>
      <c r="C9" s="20">
        <f>Assumptions!C5</f>
        <v/>
      </c>
      <c r="D9" s="21" t="inlineStr">
        <is>
          <t>Must equal 100%</t>
        </is>
      </c>
    </row>
    <row r="10">
      <c r="A10" s="14" t="inlineStr">
        <is>
          <t>Startup capital put in</t>
        </is>
      </c>
      <c r="B10" s="22">
        <f>Assumptions!B6</f>
        <v/>
      </c>
      <c r="C10" s="22">
        <f>Assumptions!C6</f>
        <v/>
      </c>
      <c r="D10" s="22">
        <f>Assumptions!D6</f>
        <v/>
      </c>
    </row>
    <row r="11">
      <c r="A11" s="14" t="inlineStr">
        <is>
          <t>% of capital funded</t>
        </is>
      </c>
      <c r="B11" s="20">
        <f>Assumptions!B7</f>
        <v/>
      </c>
      <c r="C11" s="20">
        <f>Assumptions!C7</f>
        <v/>
      </c>
      <c r="D11" s="21" t="inlineStr">
        <is>
          <t>Should match ownership</t>
        </is>
      </c>
    </row>
    <row r="12">
      <c r="A12" s="14" t="inlineStr">
        <is>
          <t>Share of expenses they SHOULD pay</t>
        </is>
      </c>
      <c r="B12" s="20">
        <f>Assumptions!B5</f>
        <v/>
      </c>
      <c r="C12" s="20">
        <f>Assumptions!C5</f>
        <v/>
      </c>
      <c r="D12" s="21" t="inlineStr">
        <is>
          <t>By ownership</t>
        </is>
      </c>
    </row>
    <row r="13">
      <c r="A13" s="14" t="inlineStr">
        <is>
          <t>Share of expenses they ACTUALLY fund (current)</t>
        </is>
      </c>
      <c r="B13" s="20">
        <f>Assumptions!B12</f>
        <v/>
      </c>
      <c r="C13" s="20">
        <f>Assumptions!C12</f>
        <v/>
      </c>
      <c r="D13" s="21" t="inlineStr">
        <is>
          <t>Current practice</t>
        </is>
      </c>
    </row>
    <row r="15">
      <c r="A15" s="2" t="inlineStr">
        <is>
          <t>THE PROBLEM (plain English)</t>
        </is>
      </c>
    </row>
    <row r="16" ht="110" customHeight="1">
      <c r="A16" s="3" t="inlineStr">
        <is>
          <t>1) Capital + ownership: Cesar $45,000 (75%) / Omi $15,000 (25%) = $60,000.
2) Rent + expenses come out of the shop bank account first (recently always).
3) Profit draws (when leftover exists) follow 75/25.
4) At break-even, leftover = $0 so draws = $0 — but revenue still paid the bills.
5) 'How much of my revenue went to rent/expenses?' = your 75% ownership share of whatever revenue was used to cover bills (at break-even ≈ 75% of total expenses).
6) Omi should fund 25% of the monthly burn going forward (~$625/mo at current rent/ops).</t>
        </is>
      </c>
    </row>
    <row r="18">
      <c r="A18" s="2" t="inlineStr">
        <is>
          <t>BOTTOM-LINE NUMBERS (from Monthly Tracker)</t>
        </is>
      </c>
    </row>
    <row r="19">
      <c r="A19" s="5" t="inlineStr">
        <is>
          <t>Metric</t>
        </is>
      </c>
      <c r="B19" s="5" t="inlineStr">
        <is>
          <t>Amount</t>
        </is>
      </c>
      <c r="C19" s="5" t="inlineStr">
        <is>
          <t>Meaning</t>
        </is>
      </c>
    </row>
    <row r="20">
      <c r="A20" s="14" t="inlineStr">
        <is>
          <t>Total revenue logged</t>
        </is>
      </c>
      <c r="B20" s="7">
        <f>MonthlyTracker!B37</f>
        <v/>
      </c>
      <c r="C20" s="23" t="inlineStr">
        <is>
          <t>All months entered</t>
        </is>
      </c>
    </row>
    <row r="21">
      <c r="A21" s="14" t="inlineStr">
        <is>
          <t>Total expenses logged (rent + ops)</t>
        </is>
      </c>
      <c r="B21" s="7">
        <f>MonthlyTracker!B38</f>
        <v/>
      </c>
      <c r="C21" s="23" t="inlineStr">
        <is>
          <t>Paid from joint account</t>
        </is>
      </c>
    </row>
    <row r="22">
      <c r="A22" s="14" t="inlineStr">
        <is>
          <t>Total leftover / 'profit' logged</t>
        </is>
      </c>
      <c r="B22" s="7">
        <f>MonthlyTracker!B39</f>
        <v/>
      </c>
      <c r="C22" s="23" t="inlineStr">
        <is>
          <t>After expenses</t>
        </is>
      </c>
    </row>
    <row r="23">
      <c r="A23" s="14" t="inlineStr">
        <is>
          <t>Cesar capital in (startup)</t>
        </is>
      </c>
      <c r="B23" s="7">
        <f>Assumptions!B6</f>
        <v/>
      </c>
      <c r="C23" s="23" t="inlineStr">
        <is>
          <t>Your $45k</t>
        </is>
      </c>
    </row>
    <row r="24">
      <c r="A24" s="14" t="inlineStr">
        <is>
          <t>Omi capital in (startup)</t>
        </is>
      </c>
      <c r="B24" s="7">
        <f>Assumptions!C6</f>
        <v/>
      </c>
      <c r="C24" s="23" t="inlineStr">
        <is>
          <t>His $15k</t>
        </is>
      </c>
    </row>
    <row r="25">
      <c r="A25" s="14" t="inlineStr">
        <is>
          <t>Expense true-up Omi → Cesar</t>
        </is>
      </c>
      <c r="B25" s="24">
        <f>TrueUp!B12</f>
        <v/>
      </c>
      <c r="C25" s="23" t="inlineStr">
        <is>
          <t>If he underfunded his 25%</t>
        </is>
      </c>
    </row>
    <row r="26">
      <c r="A26" s="14" t="inlineStr">
        <is>
          <t>Extra profit Omi took vs 25%</t>
        </is>
      </c>
      <c r="B26" s="24">
        <f>TrueUp!B18</f>
        <v/>
      </c>
      <c r="C26" s="23" t="inlineStr">
        <is>
          <t>If past draws exceeded ownership</t>
        </is>
      </c>
    </row>
    <row r="27">
      <c r="A27" s="14" t="inlineStr">
        <is>
          <t>TOTAL Omi owes Cesar (suggested)</t>
        </is>
      </c>
      <c r="B27" s="24">
        <f>TrueUp!B20</f>
        <v/>
      </c>
      <c r="C27" s="23" t="inlineStr">
        <is>
          <t>True-up total</t>
        </is>
      </c>
    </row>
    <row r="28">
      <c r="A28" s="14" t="inlineStr">
        <is>
          <t>YOUR revenue that paid rent/ops</t>
        </is>
      </c>
      <c r="B28" s="24">
        <f>YourMoney!B16</f>
        <v/>
      </c>
      <c r="C28" s="23" t="inlineStr">
        <is>
          <t>75% of revenue applied to bills</t>
        </is>
      </c>
    </row>
    <row r="30">
      <c r="A30" s="2" t="inlineStr">
        <is>
          <t>RECOMMENDATION (for the conversation)</t>
        </is>
      </c>
    </row>
    <row r="31" ht="110" customHeight="1">
      <c r="A31" s="3" t="inlineStr">
        <is>
          <t>Ownership = capital = 75/25. Expenses and profit draws follow that.
Going forward: Omi transfers 25% of rent+ops into the shop account each month (~$625 at $2,500 burn). Cesar covers 75% (~$1,875).
If the account is already funded by revenue, you are not 'paying half' — you are applying 75% of shop revenue to bills. Track that on YourMoney.
Only go 50/50 on expenses if ownership becomes 50/50 via buy-up.</t>
        </is>
      </c>
    </row>
    <row r="33">
      <c r="A33" t="inlineStr">
        <is>
          <t>Legend:</t>
        </is>
      </c>
      <c r="B33" s="25" t="inlineStr">
        <is>
          <t>Editable input</t>
        </is>
      </c>
      <c r="C33" s="26" t="inlineStr">
        <is>
          <t>Calculated</t>
        </is>
      </c>
      <c r="D33" s="27" t="inlineStr">
        <is>
          <t>Money Partner likely owes / your revenue to bills</t>
        </is>
      </c>
    </row>
  </sheetData>
  <mergeCells count="5">
    <mergeCell ref="A2:F2"/>
    <mergeCell ref="A16:F16"/>
    <mergeCell ref="A1:F1"/>
    <mergeCell ref="A5:F5"/>
    <mergeCell ref="A31:F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Assumptions (edit yellow cells)</t>
        </is>
      </c>
    </row>
    <row r="3">
      <c r="A3" s="2" t="inlineStr">
        <is>
          <t>OWNERSHIP &amp; STARTUP CAPITAL</t>
        </is>
      </c>
    </row>
    <row r="4">
      <c r="A4" s="5" t="inlineStr"/>
      <c r="B4" s="5" t="inlineStr">
        <is>
          <t>Cesar</t>
        </is>
      </c>
      <c r="C4" s="5" t="inlineStr">
        <is>
          <t>Partner</t>
        </is>
      </c>
      <c r="D4" s="5" t="inlineStr">
        <is>
          <t>Total</t>
        </is>
      </c>
    </row>
    <row r="5">
      <c r="A5" s="9" t="inlineStr">
        <is>
          <t>Ownership %</t>
        </is>
      </c>
      <c r="B5" s="28" t="n">
        <v>0.75</v>
      </c>
      <c r="C5" s="28" t="n">
        <v>0.25</v>
      </c>
      <c r="D5" s="20">
        <f>B5+C5</f>
        <v/>
      </c>
      <c r="E5" t="inlineStr">
        <is>
          <t>Partner $ claimed</t>
        </is>
      </c>
      <c r="F5" t="inlineStr">
        <is>
          <t>Partner $ documented</t>
        </is>
      </c>
      <c r="G5" t="inlineStr">
        <is>
          <t>Audit file</t>
        </is>
      </c>
    </row>
    <row r="6">
      <c r="A6" s="9" t="inlineStr">
        <is>
          <t>Startup capital contributed ($)</t>
        </is>
      </c>
      <c r="B6" s="10" t="n">
        <v>45000</v>
      </c>
      <c r="C6" s="10" t="n">
        <v>15000</v>
      </c>
      <c r="D6" s="7">
        <f>B6+C6</f>
        <v/>
      </c>
      <c r="E6" s="46" t="n">
        <v>16000</v>
      </c>
      <c r="F6" s="47" t="n">
        <v>0</v>
      </c>
      <c r="G6" t="inlineStr">
        <is>
          <t>finance/partner-money-received.xlsx</t>
        </is>
      </c>
    </row>
    <row r="7">
      <c r="A7" s="6" t="inlineStr">
        <is>
          <t>% of capital funded</t>
        </is>
      </c>
      <c r="B7" s="20">
        <f>IF(D6=0,0,B6/D6)</f>
        <v/>
      </c>
      <c r="C7" s="20">
        <f>IF(D6=0,0,C6/D6)</f>
        <v/>
      </c>
      <c r="D7" s="20" t="n">
        <v>1</v>
      </c>
    </row>
    <row r="9">
      <c r="A9" s="2" t="inlineStr">
        <is>
          <t>CURRENT (BROKEN) PRACTICE</t>
        </is>
      </c>
    </row>
    <row r="10" ht="36" customHeight="1">
      <c r="A10" s="13" t="inlineStr">
        <is>
          <t>Expenses paid from joint account in proportion to who funded the account (default = ownership). Profit leftover was split at the rates below (default 50/50).</t>
        </is>
      </c>
    </row>
    <row r="11">
      <c r="A11" s="5" t="inlineStr"/>
      <c r="B11" s="5" t="inlineStr">
        <is>
          <t>Cesar</t>
        </is>
      </c>
      <c r="C11" s="5" t="inlineStr">
        <is>
          <t>Partner</t>
        </is>
      </c>
      <c r="D11" s="5" t="inlineStr">
        <is>
          <t>Total</t>
        </is>
      </c>
    </row>
    <row r="12">
      <c r="A12" s="9" t="inlineStr">
        <is>
          <t>Who actually funds expenses today</t>
        </is>
      </c>
      <c r="B12" s="28" t="n">
        <v>0.75</v>
      </c>
      <c r="C12" s="28" t="n">
        <v>0.25</v>
      </c>
      <c r="D12" s="20">
        <f>B12+C12</f>
        <v/>
      </c>
    </row>
    <row r="13">
      <c r="A13" s="9" t="inlineStr">
        <is>
          <t>How leftover profit was split</t>
        </is>
      </c>
      <c r="B13" s="28" t="n">
        <v>0.75</v>
      </c>
      <c r="C13" s="28" t="n">
        <v>0.25</v>
      </c>
      <c r="D13" s="20">
        <f>B13+C13</f>
        <v/>
      </c>
    </row>
    <row r="15">
      <c r="A15" s="2" t="inlineStr">
        <is>
          <t>FAIR RULE (target)</t>
        </is>
      </c>
    </row>
    <row r="16">
      <c r="A16" s="5" t="inlineStr"/>
      <c r="B16" s="5" t="inlineStr">
        <is>
          <t>Cesar</t>
        </is>
      </c>
      <c r="C16" s="5" t="inlineStr">
        <is>
          <t>Partner</t>
        </is>
      </c>
      <c r="D16" s="5" t="inlineStr">
        <is>
          <t>Total</t>
        </is>
      </c>
    </row>
    <row r="17">
      <c r="A17" s="9" t="inlineStr">
        <is>
          <t>Fair expense split (= ownership)</t>
        </is>
      </c>
      <c r="B17" s="20">
        <f>B5</f>
        <v/>
      </c>
      <c r="C17" s="20">
        <f>C5</f>
        <v/>
      </c>
      <c r="D17" s="20">
        <f>B17+C17</f>
        <v/>
      </c>
    </row>
    <row r="18">
      <c r="A18" s="9" t="inlineStr">
        <is>
          <t>Fair profit split (= ownership)</t>
        </is>
      </c>
      <c r="B18" s="20">
        <f>B5</f>
        <v/>
      </c>
      <c r="C18" s="20">
        <f>C5</f>
        <v/>
      </c>
      <c r="D18" s="20">
        <f>B18+C18</f>
        <v/>
      </c>
    </row>
    <row r="20">
      <c r="A20" s="2" t="inlineStr">
        <is>
          <t>OPTIONAL: monthly rent / baseline ops (for Scenario examples)</t>
        </is>
      </c>
    </row>
    <row r="21">
      <c r="A21" s="6" t="inlineStr">
        <is>
          <t>Example monthly rent</t>
        </is>
      </c>
      <c r="B21" s="10" t="n">
        <v>1700</v>
      </c>
    </row>
    <row r="22">
      <c r="A22" s="6" t="inlineStr">
        <is>
          <t>Example other monthly expenses</t>
        </is>
      </c>
      <c r="B22" s="10" t="n">
        <v>800</v>
      </c>
    </row>
    <row r="23">
      <c r="A23" s="6" t="inlineStr">
        <is>
          <t>Example monthly revenue (break-even case)</t>
        </is>
      </c>
      <c r="B23" s="10" t="n">
        <v>2500</v>
      </c>
    </row>
    <row r="24">
      <c r="A24" s="6" t="inlineStr">
        <is>
          <t>Example monthly revenue (profit case)</t>
        </is>
      </c>
      <c r="B24" s="10" t="n">
        <v>5000</v>
      </c>
    </row>
    <row r="25">
      <c r="A25" s="6" t="inlineStr">
        <is>
          <t>Months open (for quick estimate)</t>
        </is>
      </c>
      <c r="B25" s="29" t="n">
        <v>6</v>
      </c>
    </row>
    <row r="27">
      <c r="A27" s="2" t="inlineStr">
        <is>
          <t>Notes</t>
        </is>
      </c>
    </row>
    <row r="28" ht="70" customHeight="1">
      <c r="A28" s="13" t="inlineStr">
        <is>
          <t>• Ownership = capital = Cesar 75% / Omi 25% ($45k / $15k of $60k).
• Expense funding and profit draws both follow 75/25.
• YourMoney answers: how much of Cesar's revenue share paid rent/expenses.
• This workbook is a negotiation tool, not legal advice. Put the final deal in writing.</t>
        </is>
      </c>
    </row>
    <row r="30">
      <c r="A30" s="38" t="inlineStr">
        <is>
          <t>Partner capital-in is UNDER AUDIT</t>
        </is>
      </c>
    </row>
    <row r="31" ht="48" customHeight="1">
      <c r="A31" s="13" t="inlineStr">
        <is>
          <t>Do not trust verbal $16k/$19k. Use finance/partner-money-received.xlsx Transfers ledger. Fair 25% of ~$58,841 shop list ≈ $14,710. Prior model cell used $15,000 as placeholder.</t>
        </is>
      </c>
    </row>
  </sheetData>
  <mergeCells count="4">
    <mergeCell ref="A1:D1"/>
    <mergeCell ref="A28:D28"/>
    <mergeCell ref="A31:D31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6" customWidth="1" min="3" max="3"/>
    <col width="40" customWidth="1" min="4" max="4"/>
    <col width="4" customWidth="1" min="5" max="5"/>
    <col width="18" customWidth="1" min="6" max="6"/>
    <col width="14" customWidth="1" min="7" max="7"/>
  </cols>
  <sheetData>
    <row r="1">
      <c r="A1" s="1" t="inlineStr">
        <is>
          <t>Side-by-side: one month under current vs fair rules</t>
        </is>
      </c>
    </row>
    <row r="3">
      <c r="A3" s="2" t="inlineStr">
        <is>
          <t>BREAK-EVEN MONTH (uses Assumptions example revenue/expenses)</t>
        </is>
      </c>
    </row>
    <row r="4">
      <c r="A4" s="5" t="inlineStr"/>
      <c r="B4" s="5" t="inlineStr">
        <is>
          <t>Current practice</t>
        </is>
      </c>
      <c r="C4" s="5" t="inlineStr">
        <is>
          <t>Fair 80/20</t>
        </is>
      </c>
      <c r="D4" s="5" t="inlineStr">
        <is>
          <t>Difference (Fair − Current for Cesar)</t>
        </is>
      </c>
      <c r="F4" t="inlineStr">
        <is>
          <t>Break-even net</t>
        </is>
      </c>
    </row>
    <row r="5">
      <c r="A5" s="6" t="inlineStr">
        <is>
          <t>Revenue</t>
        </is>
      </c>
      <c r="B5" s="7">
        <f>Assumptions!B23</f>
        <v/>
      </c>
      <c r="C5" s="7">
        <f>Assumptions!B23</f>
        <v/>
      </c>
      <c r="D5" s="7">
        <f>C5-B5</f>
        <v/>
      </c>
      <c r="F5" t="inlineStr">
        <is>
          <t>Cesar current</t>
        </is>
      </c>
      <c r="G5" s="30">
        <f>B12</f>
        <v/>
      </c>
    </row>
    <row r="6">
      <c r="A6" s="6" t="inlineStr">
        <is>
          <t>Rent + expenses</t>
        </is>
      </c>
      <c r="B6" s="7">
        <f>Assumptions!B21+Assumptions!B22</f>
        <v/>
      </c>
      <c r="C6" s="7">
        <f>Assumptions!B21+Assumptions!B22</f>
        <v/>
      </c>
      <c r="D6" s="7">
        <f>C6-B6</f>
        <v/>
      </c>
      <c r="F6" t="inlineStr">
        <is>
          <t>Partner current</t>
        </is>
      </c>
      <c r="G6" s="30">
        <f>B13</f>
        <v/>
      </c>
    </row>
    <row r="7">
      <c r="A7" s="9" t="inlineStr">
        <is>
          <t>Leftover after expenses</t>
        </is>
      </c>
      <c r="B7" s="7">
        <f>B5-B6</f>
        <v/>
      </c>
      <c r="C7" s="7">
        <f>C5-C6</f>
        <v/>
      </c>
      <c r="D7" s="7">
        <f>C7-B7</f>
        <v/>
      </c>
      <c r="F7" t="inlineStr">
        <is>
          <t>Cesar fair</t>
        </is>
      </c>
      <c r="G7" s="30">
        <f>C12</f>
        <v/>
      </c>
    </row>
    <row r="8">
      <c r="A8" s="6" t="inlineStr">
        <is>
          <t>Cesar's share of leftover</t>
        </is>
      </c>
      <c r="B8" s="7">
        <f>IF(B7&gt;0,B7*Assumptions!B13,0)</f>
        <v/>
      </c>
      <c r="C8" s="7">
        <f>IF(C7&gt;0,C7*Assumptions!B18,0)</f>
        <v/>
      </c>
      <c r="D8" s="7">
        <f>C8-B8</f>
        <v/>
      </c>
      <c r="F8" t="inlineStr">
        <is>
          <t>Partner fair</t>
        </is>
      </c>
      <c r="G8" s="30">
        <f>C13</f>
        <v/>
      </c>
    </row>
    <row r="9">
      <c r="A9" s="6" t="inlineStr">
        <is>
          <t>Partner's share of leftover</t>
        </is>
      </c>
      <c r="B9" s="7">
        <f>IF(B7&gt;0,B7*Assumptions!C13,0)</f>
        <v/>
      </c>
      <c r="C9" s="7">
        <f>IF(C7&gt;0,C7*Assumptions!C18,0)</f>
        <v/>
      </c>
      <c r="D9" s="7">
        <f>C9-B9</f>
        <v/>
      </c>
    </row>
    <row r="10">
      <c r="A10" s="9" t="inlineStr">
        <is>
          <t>Cesar economic cost of expenses (funded share)</t>
        </is>
      </c>
      <c r="B10" s="7">
        <f>B6*Assumptions!B12</f>
        <v/>
      </c>
      <c r="C10" s="7">
        <f>C6*Assumptions!B17</f>
        <v/>
      </c>
      <c r="D10" s="7">
        <f>C10-B10</f>
        <v/>
      </c>
    </row>
    <row r="11">
      <c r="A11" s="9" t="inlineStr">
        <is>
          <t>Partner economic cost of expenses (funded share)</t>
        </is>
      </c>
      <c r="B11" s="7">
        <f>B6*Assumptions!C12</f>
        <v/>
      </c>
      <c r="C11" s="7">
        <f>C6*Assumptions!C17</f>
        <v/>
      </c>
      <c r="D11" s="7">
        <f>C11-B11</f>
        <v/>
      </c>
    </row>
    <row r="12">
      <c r="A12" s="6" t="inlineStr">
        <is>
          <t>Cesar net this month (leftover share − expense cost)</t>
        </is>
      </c>
      <c r="B12" s="24">
        <f>B8-B10</f>
        <v/>
      </c>
      <c r="C12" s="12">
        <f>C8-C10</f>
        <v/>
      </c>
      <c r="D12" s="7">
        <f>C12-B12</f>
        <v/>
      </c>
    </row>
    <row r="13">
      <c r="A13" s="6" t="inlineStr">
        <is>
          <t>Partner net this month</t>
        </is>
      </c>
      <c r="B13" s="7">
        <f>B9-B11</f>
        <v/>
      </c>
      <c r="C13" s="7">
        <f>C9-C11</f>
        <v/>
      </c>
      <c r="D13" s="7">
        <f>C13-B13</f>
        <v/>
      </c>
    </row>
    <row r="15">
      <c r="A15" s="2" t="inlineStr">
        <is>
          <t>PROFIT MONTH</t>
        </is>
      </c>
    </row>
    <row r="16">
      <c r="A16" s="5" t="inlineStr"/>
      <c r="B16" s="5" t="inlineStr">
        <is>
          <t>Current practice</t>
        </is>
      </c>
      <c r="C16" s="5" t="inlineStr">
        <is>
          <t>Fair 80/20</t>
        </is>
      </c>
      <c r="D16" s="5" t="inlineStr">
        <is>
          <t>Difference (Fair − Current for Cesar)</t>
        </is>
      </c>
    </row>
    <row r="17">
      <c r="A17" s="6" t="inlineStr">
        <is>
          <t>Revenue</t>
        </is>
      </c>
      <c r="B17" s="7">
        <f>Assumptions!B24</f>
        <v/>
      </c>
      <c r="C17" s="7">
        <f>Assumptions!B24</f>
        <v/>
      </c>
      <c r="D17" s="7">
        <f>C17-B17</f>
        <v/>
      </c>
    </row>
    <row r="18">
      <c r="A18" s="6" t="inlineStr">
        <is>
          <t>Rent + expenses</t>
        </is>
      </c>
      <c r="B18" s="7">
        <f>Assumptions!B21+Assumptions!B22</f>
        <v/>
      </c>
      <c r="C18" s="7">
        <f>Assumptions!B21+Assumptions!B22</f>
        <v/>
      </c>
      <c r="D18" s="7">
        <f>C18-B18</f>
        <v/>
      </c>
    </row>
    <row r="19">
      <c r="A19" s="9" t="inlineStr">
        <is>
          <t>Leftover after expenses</t>
        </is>
      </c>
      <c r="B19" s="7">
        <f>B17-B18</f>
        <v/>
      </c>
      <c r="C19" s="7">
        <f>C17-C18</f>
        <v/>
      </c>
      <c r="D19" s="7">
        <f>C19-B19</f>
        <v/>
      </c>
    </row>
    <row r="20">
      <c r="A20" s="6" t="inlineStr">
        <is>
          <t>Cesar's share of leftover</t>
        </is>
      </c>
      <c r="B20" s="7">
        <f>IF(B19&gt;0,B19*Assumptions!B13,0)</f>
        <v/>
      </c>
      <c r="C20" s="7">
        <f>IF(C19&gt;0,C19*Assumptions!B18,0)</f>
        <v/>
      </c>
      <c r="D20" s="7">
        <f>C20-B20</f>
        <v/>
      </c>
    </row>
    <row r="21">
      <c r="A21" s="6" t="inlineStr">
        <is>
          <t>Partner's share of leftover</t>
        </is>
      </c>
      <c r="B21" s="7">
        <f>IF(B19&gt;0,B19*Assumptions!C13,0)</f>
        <v/>
      </c>
      <c r="C21" s="7">
        <f>IF(C19&gt;0,C19*Assumptions!C18,0)</f>
        <v/>
      </c>
      <c r="D21" s="7">
        <f>C21-B21</f>
        <v/>
      </c>
    </row>
    <row r="22">
      <c r="A22" s="6" t="inlineStr">
        <is>
          <t>Cesar economic cost of expenses</t>
        </is>
      </c>
      <c r="B22" s="7">
        <f>B18*Assumptions!B12</f>
        <v/>
      </c>
      <c r="C22" s="7">
        <f>C18*Assumptions!B17</f>
        <v/>
      </c>
      <c r="D22" s="7">
        <f>C22-B22</f>
        <v/>
      </c>
    </row>
    <row r="23">
      <c r="A23" s="6" t="inlineStr">
        <is>
          <t>Partner economic cost of expenses</t>
        </is>
      </c>
      <c r="B23" s="7">
        <f>B18*Assumptions!C12</f>
        <v/>
      </c>
      <c r="C23" s="7">
        <f>C18*Assumptions!C17</f>
        <v/>
      </c>
      <c r="D23" s="7">
        <f>C23-B23</f>
        <v/>
      </c>
    </row>
    <row r="24">
      <c r="A24" s="6" t="inlineStr">
        <is>
          <t>Cesar net this month</t>
        </is>
      </c>
      <c r="B24" s="24">
        <f>B20-B22</f>
        <v/>
      </c>
      <c r="C24" s="12">
        <f>C20-C22</f>
        <v/>
      </c>
      <c r="D24" s="7">
        <f>C24-B24</f>
        <v/>
      </c>
    </row>
    <row r="25">
      <c r="A25" s="6" t="inlineStr">
        <is>
          <t>Partner net this month</t>
        </is>
      </c>
      <c r="B25" s="7">
        <f>B21-B23</f>
        <v/>
      </c>
      <c r="C25" s="7">
        <f>C21-C23</f>
        <v/>
      </c>
      <c r="D25" s="7">
        <f>C25-B25</f>
        <v/>
      </c>
    </row>
    <row r="27">
      <c r="A27" s="2" t="inlineStr">
        <is>
          <t>Buy-up to 50/50 (if Partner wants equal splits)</t>
        </is>
      </c>
    </row>
    <row r="28">
      <c r="A28" s="6" t="inlineStr">
        <is>
          <t>Total startup capital</t>
        </is>
      </c>
      <c r="B28" s="7">
        <f>Assumptions!D6</f>
        <v/>
      </c>
    </row>
    <row r="29">
      <c r="A29" s="6" t="inlineStr">
        <is>
          <t>50% of capital</t>
        </is>
      </c>
      <c r="B29" s="7">
        <f>B28*0.5</f>
        <v/>
      </c>
    </row>
    <row r="30">
      <c r="A30" s="6" t="inlineStr">
        <is>
          <t>Partner already put in</t>
        </is>
      </c>
      <c r="B30" s="7">
        <f>Assumptions!C6</f>
        <v/>
      </c>
    </row>
    <row r="31">
      <c r="A31" s="9" t="inlineStr">
        <is>
          <t>Cash Partner must add to reach 50%</t>
        </is>
      </c>
      <c r="B31" s="24">
        <f>MAX(0,B29-B30)</f>
        <v/>
      </c>
    </row>
    <row r="32" ht="40" customHeight="1">
      <c r="A32" s="13" t="inlineStr">
        <is>
          <t>If they pay that buy-up (and agree expenses + profits go 50/50 from then on), equal splits are fair. Until then, 50/50 profit while you carry 80% of capital is the imbalance.</t>
        </is>
      </c>
    </row>
  </sheetData>
  <mergeCells count="2">
    <mergeCell ref="A32:D3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</cols>
  <sheetData>
    <row r="1">
      <c r="A1" s="1" t="inlineStr">
        <is>
          <t>Monthly Tracker — enter real numbers (yellow)</t>
        </is>
      </c>
    </row>
    <row r="2" ht="36" customHeight="1">
      <c r="A2" s="13" t="inlineStr">
        <is>
          <t>For each month: revenue, rent, other expenses, any profit already paid out, and any personal cash each partner put in that month. Leave unused months blank (or zero).</t>
        </is>
      </c>
    </row>
    <row r="4" ht="40" customHeight="1">
      <c r="A4" s="5" t="inlineStr">
        <is>
          <t>Month</t>
        </is>
      </c>
      <c r="B4" s="5" t="inlineStr">
        <is>
          <t>Revenue</t>
        </is>
      </c>
      <c r="C4" s="5" t="inlineStr">
        <is>
          <t>Rent</t>
        </is>
      </c>
      <c r="D4" s="5" t="inlineStr">
        <is>
          <t>Other expenses</t>
        </is>
      </c>
      <c r="E4" s="5" t="inlineStr">
        <is>
          <t>Total expenses</t>
        </is>
      </c>
      <c r="F4" s="5" t="inlineStr">
        <is>
          <t>Leftover</t>
        </is>
      </c>
      <c r="G4" s="5" t="inlineStr">
        <is>
          <t>Profit paid to Cesar</t>
        </is>
      </c>
      <c r="H4" s="5" t="inlineStr">
        <is>
          <t>Profit paid to Partner</t>
        </is>
      </c>
      <c r="I4" s="5" t="inlineStr">
        <is>
          <t>Cesar personal cash in</t>
        </is>
      </c>
      <c r="J4" s="5" t="inlineStr">
        <is>
          <t>Partner personal cash in</t>
        </is>
      </c>
      <c r="K4" s="5" t="inlineStr">
        <is>
          <t>Cesar should fund (80%)</t>
        </is>
      </c>
      <c r="L4" s="5" t="inlineStr">
        <is>
          <t>Partner should fund (20%)</t>
        </is>
      </c>
      <c r="M4" s="5" t="inlineStr">
        <is>
          <t>Cesar overfunded expenses</t>
        </is>
      </c>
      <c r="N4" s="5" t="inlineStr">
        <is>
          <t>Partner profit overpay vs 20%</t>
        </is>
      </c>
    </row>
    <row r="5">
      <c r="A5" s="16" t="inlineStr">
        <is>
          <t>2025-03</t>
        </is>
      </c>
      <c r="B5" s="10" t="n">
        <v>2500</v>
      </c>
      <c r="C5" s="10" t="n">
        <v>1700</v>
      </c>
      <c r="D5" s="10" t="n">
        <v>800</v>
      </c>
      <c r="E5" s="7">
        <f>C5+D5</f>
        <v/>
      </c>
      <c r="F5" s="7">
        <f>B5-E5</f>
        <v/>
      </c>
      <c r="G5" s="10" t="n">
        <v>0</v>
      </c>
      <c r="H5" s="10" t="n">
        <v>0</v>
      </c>
      <c r="I5" s="10" t="n">
        <v>0</v>
      </c>
      <c r="J5" s="10" t="n">
        <v>0</v>
      </c>
      <c r="K5" s="7">
        <f>E5*Assumptions!$B$17-I5</f>
        <v/>
      </c>
      <c r="L5" s="7">
        <f>E5*Assumptions!$C$17-J5</f>
        <v/>
      </c>
      <c r="M5" s="7">
        <f>MAX(0,L5)</f>
        <v/>
      </c>
      <c r="N5" s="7">
        <f>H5-MAX(0,F5)*Assumptions!$C$18</f>
        <v/>
      </c>
    </row>
    <row r="6">
      <c r="A6" s="16" t="inlineStr">
        <is>
          <t>2025-04</t>
        </is>
      </c>
      <c r="B6" s="10" t="n">
        <v>2500</v>
      </c>
      <c r="C6" s="10" t="n">
        <v>1700</v>
      </c>
      <c r="D6" s="10" t="n">
        <v>800</v>
      </c>
      <c r="E6" s="7">
        <f>C6+D6</f>
        <v/>
      </c>
      <c r="F6" s="7">
        <f>B6-E6</f>
        <v/>
      </c>
      <c r="G6" s="10" t="n">
        <v>0</v>
      </c>
      <c r="H6" s="10" t="n">
        <v>0</v>
      </c>
      <c r="I6" s="10" t="n">
        <v>0</v>
      </c>
      <c r="J6" s="10" t="n">
        <v>0</v>
      </c>
      <c r="K6" s="7">
        <f>E6*Assumptions!$B$17-I6</f>
        <v/>
      </c>
      <c r="L6" s="7">
        <f>E6*Assumptions!$C$17-J6</f>
        <v/>
      </c>
      <c r="M6" s="7">
        <f>MAX(0,L6)</f>
        <v/>
      </c>
      <c r="N6" s="7">
        <f>H6-MAX(0,F6)*Assumptions!$C$18</f>
        <v/>
      </c>
    </row>
    <row r="7">
      <c r="A7" s="16" t="inlineStr">
        <is>
          <t>2025-05</t>
        </is>
      </c>
      <c r="B7" s="10" t="n">
        <v>2500</v>
      </c>
      <c r="C7" s="10" t="n">
        <v>1700</v>
      </c>
      <c r="D7" s="10" t="n">
        <v>800</v>
      </c>
      <c r="E7" s="7">
        <f>C7+D7</f>
        <v/>
      </c>
      <c r="F7" s="7">
        <f>B7-E7</f>
        <v/>
      </c>
      <c r="G7" s="10" t="n">
        <v>0</v>
      </c>
      <c r="H7" s="10" t="n">
        <v>0</v>
      </c>
      <c r="I7" s="10" t="n">
        <v>0</v>
      </c>
      <c r="J7" s="10" t="n">
        <v>0</v>
      </c>
      <c r="K7" s="7">
        <f>E7*Assumptions!$B$17-I7</f>
        <v/>
      </c>
      <c r="L7" s="7">
        <f>E7*Assumptions!$C$17-J7</f>
        <v/>
      </c>
      <c r="M7" s="7">
        <f>MAX(0,L7)</f>
        <v/>
      </c>
      <c r="N7" s="7">
        <f>H7-MAX(0,F7)*Assumptions!$C$18</f>
        <v/>
      </c>
    </row>
    <row r="8">
      <c r="A8" s="16" t="inlineStr">
        <is>
          <t>2025-06</t>
        </is>
      </c>
      <c r="B8" s="10" t="n">
        <v>2500</v>
      </c>
      <c r="C8" s="10" t="n">
        <v>1700</v>
      </c>
      <c r="D8" s="10" t="n">
        <v>800</v>
      </c>
      <c r="E8" s="7">
        <f>C8+D8</f>
        <v/>
      </c>
      <c r="F8" s="7">
        <f>B8-E8</f>
        <v/>
      </c>
      <c r="G8" s="10" t="n">
        <v>0</v>
      </c>
      <c r="H8" s="10" t="n">
        <v>0</v>
      </c>
      <c r="I8" s="10" t="n">
        <v>0</v>
      </c>
      <c r="J8" s="10" t="n">
        <v>0</v>
      </c>
      <c r="K8" s="7">
        <f>E8*Assumptions!$B$17-I8</f>
        <v/>
      </c>
      <c r="L8" s="7">
        <f>E8*Assumptions!$C$17-J8</f>
        <v/>
      </c>
      <c r="M8" s="7">
        <f>MAX(0,L8)</f>
        <v/>
      </c>
      <c r="N8" s="7">
        <f>H8-MAX(0,F8)*Assumptions!$C$18</f>
        <v/>
      </c>
    </row>
    <row r="9">
      <c r="A9" s="16" t="inlineStr">
        <is>
          <t>2025-07</t>
        </is>
      </c>
      <c r="B9" s="10" t="n">
        <v>2500</v>
      </c>
      <c r="C9" s="10" t="n">
        <v>1700</v>
      </c>
      <c r="D9" s="10" t="n">
        <v>800</v>
      </c>
      <c r="E9" s="7">
        <f>C9+D9</f>
        <v/>
      </c>
      <c r="F9" s="7">
        <f>B9-E9</f>
        <v/>
      </c>
      <c r="G9" s="10" t="n">
        <v>0</v>
      </c>
      <c r="H9" s="10" t="n">
        <v>0</v>
      </c>
      <c r="I9" s="10" t="n">
        <v>0</v>
      </c>
      <c r="J9" s="10" t="n">
        <v>0</v>
      </c>
      <c r="K9" s="7">
        <f>E9*Assumptions!$B$17-I9</f>
        <v/>
      </c>
      <c r="L9" s="7">
        <f>E9*Assumptions!$C$17-J9</f>
        <v/>
      </c>
      <c r="M9" s="7">
        <f>MAX(0,L9)</f>
        <v/>
      </c>
      <c r="N9" s="7">
        <f>H9-MAX(0,F9)*Assumptions!$C$18</f>
        <v/>
      </c>
    </row>
    <row r="10">
      <c r="A10" s="16" t="inlineStr">
        <is>
          <t>2025-08</t>
        </is>
      </c>
      <c r="B10" s="10" t="n">
        <v>2500</v>
      </c>
      <c r="C10" s="10" t="n">
        <v>1700</v>
      </c>
      <c r="D10" s="10" t="n">
        <v>800</v>
      </c>
      <c r="E10" s="7">
        <f>C10+D10</f>
        <v/>
      </c>
      <c r="F10" s="7">
        <f>B10-E10</f>
        <v/>
      </c>
      <c r="G10" s="10" t="n">
        <v>0</v>
      </c>
      <c r="H10" s="10" t="n">
        <v>0</v>
      </c>
      <c r="I10" s="10" t="n">
        <v>0</v>
      </c>
      <c r="J10" s="10" t="n">
        <v>0</v>
      </c>
      <c r="K10" s="7">
        <f>E10*Assumptions!$B$17-I10</f>
        <v/>
      </c>
      <c r="L10" s="7">
        <f>E10*Assumptions!$C$17-J10</f>
        <v/>
      </c>
      <c r="M10" s="7">
        <f>MAX(0,L10)</f>
        <v/>
      </c>
      <c r="N10" s="7">
        <f>H10-MAX(0,F10)*Assumptions!$C$18</f>
        <v/>
      </c>
    </row>
    <row r="11">
      <c r="A11" s="16" t="inlineStr"/>
      <c r="B11" s="10" t="n">
        <v>0</v>
      </c>
      <c r="C11" s="10" t="n">
        <v>0</v>
      </c>
      <c r="D11" s="10" t="n">
        <v>0</v>
      </c>
      <c r="E11" s="7">
        <f>C11+D11</f>
        <v/>
      </c>
      <c r="F11" s="7">
        <f>B11-E11</f>
        <v/>
      </c>
      <c r="G11" s="10" t="n">
        <v>0</v>
      </c>
      <c r="H11" s="10" t="n">
        <v>0</v>
      </c>
      <c r="I11" s="10" t="n">
        <v>0</v>
      </c>
      <c r="J11" s="10" t="n">
        <v>0</v>
      </c>
      <c r="K11" s="7">
        <f>E11*Assumptions!$B$17-I11</f>
        <v/>
      </c>
      <c r="L11" s="7">
        <f>E11*Assumptions!$C$17-J11</f>
        <v/>
      </c>
      <c r="M11" s="7">
        <f>MAX(0,L11)</f>
        <v/>
      </c>
      <c r="N11" s="7">
        <f>H11-MAX(0,F11)*Assumptions!$C$18</f>
        <v/>
      </c>
    </row>
    <row r="12">
      <c r="A12" s="16" t="inlineStr"/>
      <c r="B12" s="10" t="n">
        <v>0</v>
      </c>
      <c r="C12" s="10" t="n">
        <v>0</v>
      </c>
      <c r="D12" s="10" t="n">
        <v>0</v>
      </c>
      <c r="E12" s="7">
        <f>C12+D12</f>
        <v/>
      </c>
      <c r="F12" s="7">
        <f>B12-E12</f>
        <v/>
      </c>
      <c r="G12" s="10" t="n">
        <v>0</v>
      </c>
      <c r="H12" s="10" t="n">
        <v>0</v>
      </c>
      <c r="I12" s="10" t="n">
        <v>0</v>
      </c>
      <c r="J12" s="10" t="n">
        <v>0</v>
      </c>
      <c r="K12" s="7">
        <f>E12*Assumptions!$B$17-I12</f>
        <v/>
      </c>
      <c r="L12" s="7">
        <f>E12*Assumptions!$C$17-J12</f>
        <v/>
      </c>
      <c r="M12" s="7">
        <f>MAX(0,L12)</f>
        <v/>
      </c>
      <c r="N12" s="7">
        <f>H12-MAX(0,F12)*Assumptions!$C$18</f>
        <v/>
      </c>
    </row>
    <row r="13">
      <c r="A13" s="16" t="inlineStr"/>
      <c r="B13" s="10" t="n">
        <v>0</v>
      </c>
      <c r="C13" s="10" t="n">
        <v>0</v>
      </c>
      <c r="D13" s="10" t="n">
        <v>0</v>
      </c>
      <c r="E13" s="7">
        <f>C13+D13</f>
        <v/>
      </c>
      <c r="F13" s="7">
        <f>B13-E13</f>
        <v/>
      </c>
      <c r="G13" s="10" t="n">
        <v>0</v>
      </c>
      <c r="H13" s="10" t="n">
        <v>0</v>
      </c>
      <c r="I13" s="10" t="n">
        <v>0</v>
      </c>
      <c r="J13" s="10" t="n">
        <v>0</v>
      </c>
      <c r="K13" s="7">
        <f>E13*Assumptions!$B$17-I13</f>
        <v/>
      </c>
      <c r="L13" s="7">
        <f>E13*Assumptions!$C$17-J13</f>
        <v/>
      </c>
      <c r="M13" s="7">
        <f>MAX(0,L13)</f>
        <v/>
      </c>
      <c r="N13" s="7">
        <f>H13-MAX(0,F13)*Assumptions!$C$18</f>
        <v/>
      </c>
    </row>
    <row r="14">
      <c r="A14" s="16" t="inlineStr"/>
      <c r="B14" s="10" t="n">
        <v>0</v>
      </c>
      <c r="C14" s="10" t="n">
        <v>0</v>
      </c>
      <c r="D14" s="10" t="n">
        <v>0</v>
      </c>
      <c r="E14" s="7">
        <f>C14+D14</f>
        <v/>
      </c>
      <c r="F14" s="7">
        <f>B14-E14</f>
        <v/>
      </c>
      <c r="G14" s="10" t="n">
        <v>0</v>
      </c>
      <c r="H14" s="10" t="n">
        <v>0</v>
      </c>
      <c r="I14" s="10" t="n">
        <v>0</v>
      </c>
      <c r="J14" s="10" t="n">
        <v>0</v>
      </c>
      <c r="K14" s="7">
        <f>E14*Assumptions!$B$17-I14</f>
        <v/>
      </c>
      <c r="L14" s="7">
        <f>E14*Assumptions!$C$17-J14</f>
        <v/>
      </c>
      <c r="M14" s="7">
        <f>MAX(0,L14)</f>
        <v/>
      </c>
      <c r="N14" s="7">
        <f>H14-MAX(0,F14)*Assumptions!$C$18</f>
        <v/>
      </c>
    </row>
    <row r="15">
      <c r="A15" s="16" t="inlineStr"/>
      <c r="B15" s="10" t="n">
        <v>0</v>
      </c>
      <c r="C15" s="10" t="n">
        <v>0</v>
      </c>
      <c r="D15" s="10" t="n">
        <v>0</v>
      </c>
      <c r="E15" s="7">
        <f>C15+D15</f>
        <v/>
      </c>
      <c r="F15" s="7">
        <f>B15-E15</f>
        <v/>
      </c>
      <c r="G15" s="10" t="n">
        <v>0</v>
      </c>
      <c r="H15" s="10" t="n">
        <v>0</v>
      </c>
      <c r="I15" s="10" t="n">
        <v>0</v>
      </c>
      <c r="J15" s="10" t="n">
        <v>0</v>
      </c>
      <c r="K15" s="7">
        <f>E15*Assumptions!$B$17-I15</f>
        <v/>
      </c>
      <c r="L15" s="7">
        <f>E15*Assumptions!$C$17-J15</f>
        <v/>
      </c>
      <c r="M15" s="7">
        <f>MAX(0,L15)</f>
        <v/>
      </c>
      <c r="N15" s="7">
        <f>H15-MAX(0,F15)*Assumptions!$C$18</f>
        <v/>
      </c>
    </row>
    <row r="16">
      <c r="A16" s="16" t="inlineStr"/>
      <c r="B16" s="10" t="n">
        <v>0</v>
      </c>
      <c r="C16" s="10" t="n">
        <v>0</v>
      </c>
      <c r="D16" s="10" t="n">
        <v>0</v>
      </c>
      <c r="E16" s="7">
        <f>C16+D16</f>
        <v/>
      </c>
      <c r="F16" s="7">
        <f>B16-E16</f>
        <v/>
      </c>
      <c r="G16" s="10" t="n">
        <v>0</v>
      </c>
      <c r="H16" s="10" t="n">
        <v>0</v>
      </c>
      <c r="I16" s="10" t="n">
        <v>0</v>
      </c>
      <c r="J16" s="10" t="n">
        <v>0</v>
      </c>
      <c r="K16" s="7">
        <f>E16*Assumptions!$B$17-I16</f>
        <v/>
      </c>
      <c r="L16" s="7">
        <f>E16*Assumptions!$C$17-J16</f>
        <v/>
      </c>
      <c r="M16" s="7">
        <f>MAX(0,L16)</f>
        <v/>
      </c>
      <c r="N16" s="7">
        <f>H16-MAX(0,F16)*Assumptions!$C$18</f>
        <v/>
      </c>
    </row>
    <row r="17">
      <c r="A17" s="16" t="inlineStr"/>
      <c r="B17" s="10" t="n">
        <v>0</v>
      </c>
      <c r="C17" s="10" t="n">
        <v>0</v>
      </c>
      <c r="D17" s="10" t="n">
        <v>0</v>
      </c>
      <c r="E17" s="7">
        <f>C17+D17</f>
        <v/>
      </c>
      <c r="F17" s="7">
        <f>B17-E17</f>
        <v/>
      </c>
      <c r="G17" s="10" t="n">
        <v>0</v>
      </c>
      <c r="H17" s="10" t="n">
        <v>0</v>
      </c>
      <c r="I17" s="10" t="n">
        <v>0</v>
      </c>
      <c r="J17" s="10" t="n">
        <v>0</v>
      </c>
      <c r="K17" s="7">
        <f>E17*Assumptions!$B$17-I17</f>
        <v/>
      </c>
      <c r="L17" s="7">
        <f>E17*Assumptions!$C$17-J17</f>
        <v/>
      </c>
      <c r="M17" s="7">
        <f>MAX(0,L17)</f>
        <v/>
      </c>
      <c r="N17" s="7">
        <f>H17-MAX(0,F17)*Assumptions!$C$18</f>
        <v/>
      </c>
    </row>
    <row r="18">
      <c r="A18" s="16" t="inlineStr"/>
      <c r="B18" s="10" t="n">
        <v>0</v>
      </c>
      <c r="C18" s="10" t="n">
        <v>0</v>
      </c>
      <c r="D18" s="10" t="n">
        <v>0</v>
      </c>
      <c r="E18" s="7">
        <f>C18+D18</f>
        <v/>
      </c>
      <c r="F18" s="7">
        <f>B18-E18</f>
        <v/>
      </c>
      <c r="G18" s="10" t="n">
        <v>0</v>
      </c>
      <c r="H18" s="10" t="n">
        <v>0</v>
      </c>
      <c r="I18" s="10" t="n">
        <v>0</v>
      </c>
      <c r="J18" s="10" t="n">
        <v>0</v>
      </c>
      <c r="K18" s="7">
        <f>E18*Assumptions!$B$17-I18</f>
        <v/>
      </c>
      <c r="L18" s="7">
        <f>E18*Assumptions!$C$17-J18</f>
        <v/>
      </c>
      <c r="M18" s="7">
        <f>MAX(0,L18)</f>
        <v/>
      </c>
      <c r="N18" s="7">
        <f>H18-MAX(0,F18)*Assumptions!$C$18</f>
        <v/>
      </c>
    </row>
    <row r="19">
      <c r="A19" s="16" t="inlineStr"/>
      <c r="B19" s="10" t="n">
        <v>0</v>
      </c>
      <c r="C19" s="10" t="n">
        <v>0</v>
      </c>
      <c r="D19" s="10" t="n">
        <v>0</v>
      </c>
      <c r="E19" s="7">
        <f>C19+D19</f>
        <v/>
      </c>
      <c r="F19" s="7">
        <f>B19-E19</f>
        <v/>
      </c>
      <c r="G19" s="10" t="n">
        <v>0</v>
      </c>
      <c r="H19" s="10" t="n">
        <v>0</v>
      </c>
      <c r="I19" s="10" t="n">
        <v>0</v>
      </c>
      <c r="J19" s="10" t="n">
        <v>0</v>
      </c>
      <c r="K19" s="7">
        <f>E19*Assumptions!$B$17-I19</f>
        <v/>
      </c>
      <c r="L19" s="7">
        <f>E19*Assumptions!$C$17-J19</f>
        <v/>
      </c>
      <c r="M19" s="7">
        <f>MAX(0,L19)</f>
        <v/>
      </c>
      <c r="N19" s="7">
        <f>H19-MAX(0,F19)*Assumptions!$C$18</f>
        <v/>
      </c>
    </row>
    <row r="20">
      <c r="A20" s="16" t="inlineStr"/>
      <c r="B20" s="10" t="n">
        <v>0</v>
      </c>
      <c r="C20" s="10" t="n">
        <v>0</v>
      </c>
      <c r="D20" s="10" t="n">
        <v>0</v>
      </c>
      <c r="E20" s="7">
        <f>C20+D20</f>
        <v/>
      </c>
      <c r="F20" s="7">
        <f>B20-E20</f>
        <v/>
      </c>
      <c r="G20" s="10" t="n">
        <v>0</v>
      </c>
      <c r="H20" s="10" t="n">
        <v>0</v>
      </c>
      <c r="I20" s="10" t="n">
        <v>0</v>
      </c>
      <c r="J20" s="10" t="n">
        <v>0</v>
      </c>
      <c r="K20" s="7">
        <f>E20*Assumptions!$B$17-I20</f>
        <v/>
      </c>
      <c r="L20" s="7">
        <f>E20*Assumptions!$C$17-J20</f>
        <v/>
      </c>
      <c r="M20" s="7">
        <f>MAX(0,L20)</f>
        <v/>
      </c>
      <c r="N20" s="7">
        <f>H20-MAX(0,F20)*Assumptions!$C$18</f>
        <v/>
      </c>
    </row>
    <row r="21">
      <c r="A21" s="16" t="inlineStr"/>
      <c r="B21" s="10" t="n">
        <v>0</v>
      </c>
      <c r="C21" s="10" t="n">
        <v>0</v>
      </c>
      <c r="D21" s="10" t="n">
        <v>0</v>
      </c>
      <c r="E21" s="7">
        <f>C21+D21</f>
        <v/>
      </c>
      <c r="F21" s="7">
        <f>B21-E21</f>
        <v/>
      </c>
      <c r="G21" s="10" t="n">
        <v>0</v>
      </c>
      <c r="H21" s="10" t="n">
        <v>0</v>
      </c>
      <c r="I21" s="10" t="n">
        <v>0</v>
      </c>
      <c r="J21" s="10" t="n">
        <v>0</v>
      </c>
      <c r="K21" s="7">
        <f>E21*Assumptions!$B$17-I21</f>
        <v/>
      </c>
      <c r="L21" s="7">
        <f>E21*Assumptions!$C$17-J21</f>
        <v/>
      </c>
      <c r="M21" s="7">
        <f>MAX(0,L21)</f>
        <v/>
      </c>
      <c r="N21" s="7">
        <f>H21-MAX(0,F21)*Assumptions!$C$18</f>
        <v/>
      </c>
    </row>
    <row r="22">
      <c r="A22" s="16" t="inlineStr"/>
      <c r="B22" s="10" t="n">
        <v>0</v>
      </c>
      <c r="C22" s="10" t="n">
        <v>0</v>
      </c>
      <c r="D22" s="10" t="n">
        <v>0</v>
      </c>
      <c r="E22" s="7">
        <f>C22+D22</f>
        <v/>
      </c>
      <c r="F22" s="7">
        <f>B22-E22</f>
        <v/>
      </c>
      <c r="G22" s="10" t="n">
        <v>0</v>
      </c>
      <c r="H22" s="10" t="n">
        <v>0</v>
      </c>
      <c r="I22" s="10" t="n">
        <v>0</v>
      </c>
      <c r="J22" s="10" t="n">
        <v>0</v>
      </c>
      <c r="K22" s="7">
        <f>E22*Assumptions!$B$17-I22</f>
        <v/>
      </c>
      <c r="L22" s="7">
        <f>E22*Assumptions!$C$17-J22</f>
        <v/>
      </c>
      <c r="M22" s="7">
        <f>MAX(0,L22)</f>
        <v/>
      </c>
      <c r="N22" s="7">
        <f>H22-MAX(0,F22)*Assumptions!$C$18</f>
        <v/>
      </c>
    </row>
    <row r="23">
      <c r="A23" s="16" t="inlineStr"/>
      <c r="B23" s="10" t="n">
        <v>0</v>
      </c>
      <c r="C23" s="10" t="n">
        <v>0</v>
      </c>
      <c r="D23" s="10" t="n">
        <v>0</v>
      </c>
      <c r="E23" s="7">
        <f>C23+D23</f>
        <v/>
      </c>
      <c r="F23" s="7">
        <f>B23-E23</f>
        <v/>
      </c>
      <c r="G23" s="10" t="n">
        <v>0</v>
      </c>
      <c r="H23" s="10" t="n">
        <v>0</v>
      </c>
      <c r="I23" s="10" t="n">
        <v>0</v>
      </c>
      <c r="J23" s="10" t="n">
        <v>0</v>
      </c>
      <c r="K23" s="7">
        <f>E23*Assumptions!$B$17-I23</f>
        <v/>
      </c>
      <c r="L23" s="7">
        <f>E23*Assumptions!$C$17-J23</f>
        <v/>
      </c>
      <c r="M23" s="7">
        <f>MAX(0,L23)</f>
        <v/>
      </c>
      <c r="N23" s="7">
        <f>H23-MAX(0,F23)*Assumptions!$C$18</f>
        <v/>
      </c>
    </row>
    <row r="24">
      <c r="A24" s="16" t="inlineStr"/>
      <c r="B24" s="10" t="n">
        <v>0</v>
      </c>
      <c r="C24" s="10" t="n">
        <v>0</v>
      </c>
      <c r="D24" s="10" t="n">
        <v>0</v>
      </c>
      <c r="E24" s="7">
        <f>C24+D24</f>
        <v/>
      </c>
      <c r="F24" s="7">
        <f>B24-E24</f>
        <v/>
      </c>
      <c r="G24" s="10" t="n">
        <v>0</v>
      </c>
      <c r="H24" s="10" t="n">
        <v>0</v>
      </c>
      <c r="I24" s="10" t="n">
        <v>0</v>
      </c>
      <c r="J24" s="10" t="n">
        <v>0</v>
      </c>
      <c r="K24" s="7">
        <f>E24*Assumptions!$B$17-I24</f>
        <v/>
      </c>
      <c r="L24" s="7">
        <f>E24*Assumptions!$C$17-J24</f>
        <v/>
      </c>
      <c r="M24" s="7">
        <f>MAX(0,L24)</f>
        <v/>
      </c>
      <c r="N24" s="7">
        <f>H24-MAX(0,F24)*Assumptions!$C$18</f>
        <v/>
      </c>
    </row>
    <row r="25">
      <c r="A25" s="16" t="inlineStr"/>
      <c r="B25" s="10" t="n">
        <v>0</v>
      </c>
      <c r="C25" s="10" t="n">
        <v>0</v>
      </c>
      <c r="D25" s="10" t="n">
        <v>0</v>
      </c>
      <c r="E25" s="7">
        <f>C25+D25</f>
        <v/>
      </c>
      <c r="F25" s="7">
        <f>B25-E25</f>
        <v/>
      </c>
      <c r="G25" s="10" t="n">
        <v>0</v>
      </c>
      <c r="H25" s="10" t="n">
        <v>0</v>
      </c>
      <c r="I25" s="10" t="n">
        <v>0</v>
      </c>
      <c r="J25" s="10" t="n">
        <v>0</v>
      </c>
      <c r="K25" s="7">
        <f>E25*Assumptions!$B$17-I25</f>
        <v/>
      </c>
      <c r="L25" s="7">
        <f>E25*Assumptions!$C$17-J25</f>
        <v/>
      </c>
      <c r="M25" s="7">
        <f>MAX(0,L25)</f>
        <v/>
      </c>
      <c r="N25" s="7">
        <f>H25-MAX(0,F25)*Assumptions!$C$18</f>
        <v/>
      </c>
    </row>
    <row r="26">
      <c r="A26" s="16" t="inlineStr"/>
      <c r="B26" s="10" t="n">
        <v>0</v>
      </c>
      <c r="C26" s="10" t="n">
        <v>0</v>
      </c>
      <c r="D26" s="10" t="n">
        <v>0</v>
      </c>
      <c r="E26" s="7">
        <f>C26+D26</f>
        <v/>
      </c>
      <c r="F26" s="7">
        <f>B26-E26</f>
        <v/>
      </c>
      <c r="G26" s="10" t="n">
        <v>0</v>
      </c>
      <c r="H26" s="10" t="n">
        <v>0</v>
      </c>
      <c r="I26" s="10" t="n">
        <v>0</v>
      </c>
      <c r="J26" s="10" t="n">
        <v>0</v>
      </c>
      <c r="K26" s="7">
        <f>E26*Assumptions!$B$17-I26</f>
        <v/>
      </c>
      <c r="L26" s="7">
        <f>E26*Assumptions!$C$17-J26</f>
        <v/>
      </c>
      <c r="M26" s="7">
        <f>MAX(0,L26)</f>
        <v/>
      </c>
      <c r="N26" s="7">
        <f>H26-MAX(0,F26)*Assumptions!$C$18</f>
        <v/>
      </c>
    </row>
    <row r="27">
      <c r="A27" s="16" t="inlineStr"/>
      <c r="B27" s="10" t="n">
        <v>0</v>
      </c>
      <c r="C27" s="10" t="n">
        <v>0</v>
      </c>
      <c r="D27" s="10" t="n">
        <v>0</v>
      </c>
      <c r="E27" s="7">
        <f>C27+D27</f>
        <v/>
      </c>
      <c r="F27" s="7">
        <f>B27-E27</f>
        <v/>
      </c>
      <c r="G27" s="10" t="n">
        <v>0</v>
      </c>
      <c r="H27" s="10" t="n">
        <v>0</v>
      </c>
      <c r="I27" s="10" t="n">
        <v>0</v>
      </c>
      <c r="J27" s="10" t="n">
        <v>0</v>
      </c>
      <c r="K27" s="7">
        <f>E27*Assumptions!$B$17-I27</f>
        <v/>
      </c>
      <c r="L27" s="7">
        <f>E27*Assumptions!$C$17-J27</f>
        <v/>
      </c>
      <c r="M27" s="7">
        <f>MAX(0,L27)</f>
        <v/>
      </c>
      <c r="N27" s="7">
        <f>H27-MAX(0,F27)*Assumptions!$C$18</f>
        <v/>
      </c>
    </row>
    <row r="28">
      <c r="A28" s="16" t="inlineStr"/>
      <c r="B28" s="10" t="n">
        <v>0</v>
      </c>
      <c r="C28" s="10" t="n">
        <v>0</v>
      </c>
      <c r="D28" s="10" t="n">
        <v>0</v>
      </c>
      <c r="E28" s="7">
        <f>C28+D28</f>
        <v/>
      </c>
      <c r="F28" s="7">
        <f>B28-E28</f>
        <v/>
      </c>
      <c r="G28" s="10" t="n">
        <v>0</v>
      </c>
      <c r="H28" s="10" t="n">
        <v>0</v>
      </c>
      <c r="I28" s="10" t="n">
        <v>0</v>
      </c>
      <c r="J28" s="10" t="n">
        <v>0</v>
      </c>
      <c r="K28" s="7">
        <f>E28*Assumptions!$B$17-I28</f>
        <v/>
      </c>
      <c r="L28" s="7">
        <f>E28*Assumptions!$C$17-J28</f>
        <v/>
      </c>
      <c r="M28" s="7">
        <f>MAX(0,L28)</f>
        <v/>
      </c>
      <c r="N28" s="7">
        <f>H28-MAX(0,F28)*Assumptions!$C$18</f>
        <v/>
      </c>
    </row>
    <row r="29">
      <c r="A29" s="16" t="inlineStr"/>
      <c r="B29" s="10" t="n">
        <v>0</v>
      </c>
      <c r="C29" s="10" t="n">
        <v>0</v>
      </c>
      <c r="D29" s="10" t="n">
        <v>0</v>
      </c>
      <c r="E29" s="7">
        <f>C29+D29</f>
        <v/>
      </c>
      <c r="F29" s="7">
        <f>B29-E29</f>
        <v/>
      </c>
      <c r="G29" s="10" t="n">
        <v>0</v>
      </c>
      <c r="H29" s="10" t="n">
        <v>0</v>
      </c>
      <c r="I29" s="10" t="n">
        <v>0</v>
      </c>
      <c r="J29" s="10" t="n">
        <v>0</v>
      </c>
      <c r="K29" s="7">
        <f>E29*Assumptions!$B$17-I29</f>
        <v/>
      </c>
      <c r="L29" s="7">
        <f>E29*Assumptions!$C$17-J29</f>
        <v/>
      </c>
      <c r="M29" s="7">
        <f>MAX(0,L29)</f>
        <v/>
      </c>
      <c r="N29" s="7">
        <f>H29-MAX(0,F29)*Assumptions!$C$18</f>
        <v/>
      </c>
    </row>
    <row r="30">
      <c r="A30" s="16" t="inlineStr"/>
      <c r="B30" s="10" t="n">
        <v>0</v>
      </c>
      <c r="C30" s="10" t="n">
        <v>0</v>
      </c>
      <c r="D30" s="10" t="n">
        <v>0</v>
      </c>
      <c r="E30" s="7">
        <f>C30+D30</f>
        <v/>
      </c>
      <c r="F30" s="7">
        <f>B30-E30</f>
        <v/>
      </c>
      <c r="G30" s="10" t="n">
        <v>0</v>
      </c>
      <c r="H30" s="10" t="n">
        <v>0</v>
      </c>
      <c r="I30" s="10" t="n">
        <v>0</v>
      </c>
      <c r="J30" s="10" t="n">
        <v>0</v>
      </c>
      <c r="K30" s="7">
        <f>E30*Assumptions!$B$17-I30</f>
        <v/>
      </c>
      <c r="L30" s="7">
        <f>E30*Assumptions!$C$17-J30</f>
        <v/>
      </c>
      <c r="M30" s="7">
        <f>MAX(0,L30)</f>
        <v/>
      </c>
      <c r="N30" s="7">
        <f>H30-MAX(0,F30)*Assumptions!$C$18</f>
        <v/>
      </c>
    </row>
    <row r="31">
      <c r="A31" s="16" t="inlineStr"/>
      <c r="B31" s="10" t="n">
        <v>0</v>
      </c>
      <c r="C31" s="10" t="n">
        <v>0</v>
      </c>
      <c r="D31" s="10" t="n">
        <v>0</v>
      </c>
      <c r="E31" s="7">
        <f>C31+D31</f>
        <v/>
      </c>
      <c r="F31" s="7">
        <f>B31-E31</f>
        <v/>
      </c>
      <c r="G31" s="10" t="n">
        <v>0</v>
      </c>
      <c r="H31" s="10" t="n">
        <v>0</v>
      </c>
      <c r="I31" s="10" t="n">
        <v>0</v>
      </c>
      <c r="J31" s="10" t="n">
        <v>0</v>
      </c>
      <c r="K31" s="7">
        <f>E31*Assumptions!$B$17-I31</f>
        <v/>
      </c>
      <c r="L31" s="7">
        <f>E31*Assumptions!$C$17-J31</f>
        <v/>
      </c>
      <c r="M31" s="7">
        <f>MAX(0,L31)</f>
        <v/>
      </c>
      <c r="N31" s="7">
        <f>H31-MAX(0,F31)*Assumptions!$C$18</f>
        <v/>
      </c>
    </row>
    <row r="32">
      <c r="A32" s="16" t="inlineStr"/>
      <c r="B32" s="10" t="n">
        <v>0</v>
      </c>
      <c r="C32" s="10" t="n">
        <v>0</v>
      </c>
      <c r="D32" s="10" t="n">
        <v>0</v>
      </c>
      <c r="E32" s="7">
        <f>C32+D32</f>
        <v/>
      </c>
      <c r="F32" s="7">
        <f>B32-E32</f>
        <v/>
      </c>
      <c r="G32" s="10" t="n">
        <v>0</v>
      </c>
      <c r="H32" s="10" t="n">
        <v>0</v>
      </c>
      <c r="I32" s="10" t="n">
        <v>0</v>
      </c>
      <c r="J32" s="10" t="n">
        <v>0</v>
      </c>
      <c r="K32" s="7">
        <f>E32*Assumptions!$B$17-I32</f>
        <v/>
      </c>
      <c r="L32" s="7">
        <f>E32*Assumptions!$C$17-J32</f>
        <v/>
      </c>
      <c r="M32" s="7">
        <f>MAX(0,L32)</f>
        <v/>
      </c>
      <c r="N32" s="7">
        <f>H32-MAX(0,F32)*Assumptions!$C$18</f>
        <v/>
      </c>
    </row>
    <row r="33">
      <c r="A33" s="16" t="inlineStr"/>
      <c r="B33" s="10" t="n">
        <v>0</v>
      </c>
      <c r="C33" s="10" t="n">
        <v>0</v>
      </c>
      <c r="D33" s="10" t="n">
        <v>0</v>
      </c>
      <c r="E33" s="7">
        <f>C33+D33</f>
        <v/>
      </c>
      <c r="F33" s="7">
        <f>B33-E33</f>
        <v/>
      </c>
      <c r="G33" s="10" t="n">
        <v>0</v>
      </c>
      <c r="H33" s="10" t="n">
        <v>0</v>
      </c>
      <c r="I33" s="10" t="n">
        <v>0</v>
      </c>
      <c r="J33" s="10" t="n">
        <v>0</v>
      </c>
      <c r="K33" s="7">
        <f>E33*Assumptions!$B$17-I33</f>
        <v/>
      </c>
      <c r="L33" s="7">
        <f>E33*Assumptions!$C$17-J33</f>
        <v/>
      </c>
      <c r="M33" s="7">
        <f>MAX(0,L33)</f>
        <v/>
      </c>
      <c r="N33" s="7">
        <f>H33-MAX(0,F33)*Assumptions!$C$18</f>
        <v/>
      </c>
    </row>
    <row r="34">
      <c r="A34" s="31" t="inlineStr">
        <is>
          <t>TOTALS</t>
        </is>
      </c>
      <c r="B34" s="32">
        <f>SUM(B5:B33)</f>
        <v/>
      </c>
      <c r="C34" s="32">
        <f>SUM(C5:C33)</f>
        <v/>
      </c>
      <c r="D34" s="32">
        <f>SUM(D5:D33)</f>
        <v/>
      </c>
      <c r="E34" s="32">
        <f>SUM(E5:E33)</f>
        <v/>
      </c>
      <c r="F34" s="32">
        <f>SUM(F5:F33)</f>
        <v/>
      </c>
      <c r="G34" s="32">
        <f>SUM(G5:G33)</f>
        <v/>
      </c>
      <c r="H34" s="32">
        <f>SUM(H5:H33)</f>
        <v/>
      </c>
      <c r="I34" s="32">
        <f>SUM(I5:I33)</f>
        <v/>
      </c>
      <c r="J34" s="32">
        <f>SUM(J5:J33)</f>
        <v/>
      </c>
      <c r="K34" s="32">
        <f>SUM(K5:K33)</f>
        <v/>
      </c>
      <c r="L34" s="32">
        <f>SUM(L5:L33)</f>
        <v/>
      </c>
      <c r="M34" s="32">
        <f>SUM(M5:M33)</f>
        <v/>
      </c>
      <c r="N34" s="32">
        <f>SUM(N5:N33)</f>
        <v/>
      </c>
    </row>
    <row r="36">
      <c r="A36" s="33" t="inlineStr">
        <is>
          <t>Summary hooks (do not edit)</t>
        </is>
      </c>
    </row>
    <row r="37">
      <c r="A37" t="inlineStr">
        <is>
          <t>Total revenue</t>
        </is>
      </c>
      <c r="B37" s="7">
        <f>B34</f>
        <v/>
      </c>
    </row>
    <row r="38">
      <c r="A38" t="inlineStr">
        <is>
          <t>Total expenses</t>
        </is>
      </c>
      <c r="B38" s="7">
        <f>E34</f>
        <v/>
      </c>
    </row>
    <row r="39">
      <c r="A39" t="inlineStr">
        <is>
          <t>Total leftover</t>
        </is>
      </c>
      <c r="B39" s="7">
        <f>F34</f>
        <v/>
      </c>
    </row>
    <row r="41">
      <c r="A41" s="34" t="inlineStr">
        <is>
          <t>Uses Cesar's ballpark: $1,700 rent + ~$800 other × 6 months, break-even revenue. Overwrite with bank/statement totals when you have them.</t>
        </is>
      </c>
    </row>
  </sheetData>
  <mergeCells count="3">
    <mergeCell ref="A41:N41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True-Up — what Partner should pay Cesar</t>
        </is>
      </c>
    </row>
    <row r="3">
      <c r="A3" s="2" t="inlineStr">
        <is>
          <t>1) EXPENSE TRUE-UP</t>
        </is>
      </c>
    </row>
    <row r="4" ht="40" customHeight="1">
      <c r="A4" s="13" t="inlineStr">
        <is>
          <t>Partner's fair share of all logged expenses (by ownership), minus what they already paid from personal cash. That shortfall was effectively covered by your capital in the joint account.</t>
        </is>
      </c>
    </row>
    <row r="6">
      <c r="A6" s="5" t="inlineStr">
        <is>
          <t>Item</t>
        </is>
      </c>
      <c r="B6" s="5" t="inlineStr">
        <is>
          <t>Amount</t>
        </is>
      </c>
    </row>
    <row r="7">
      <c r="A7" s="14" t="inlineStr">
        <is>
          <t>Total expenses (all months)</t>
        </is>
      </c>
      <c r="B7" s="7">
        <f>MonthlyTracker!E34</f>
        <v/>
      </c>
    </row>
    <row r="8">
      <c r="A8" s="14" t="inlineStr">
        <is>
          <t>Partner fair share of expenses</t>
        </is>
      </c>
      <c r="B8" s="7">
        <f>MonthlyTracker!E34*Assumptions!C17</f>
        <v/>
      </c>
    </row>
    <row r="9">
      <c r="A9" s="14" t="inlineStr">
        <is>
          <t>Partner personal cash already paid in</t>
        </is>
      </c>
      <c r="B9" s="7">
        <f>MonthlyTracker!J34</f>
        <v/>
      </c>
    </row>
    <row r="10">
      <c r="A10" s="35" t="inlineStr">
        <is>
          <t>Partner still owes for expenses</t>
        </is>
      </c>
      <c r="B10" s="24">
        <f>MAX(0,B8-B9)</f>
        <v/>
      </c>
    </row>
    <row r="11">
      <c r="A11" s="14" t="inlineStr">
        <is>
          <t>Cesar fair share of expenses</t>
        </is>
      </c>
      <c r="B11" s="7">
        <f>MonthlyTracker!E34*Assumptions!B17</f>
        <v/>
      </c>
    </row>
    <row r="12">
      <c r="A12" s="35" t="inlineStr">
        <is>
          <t>Expense true-up Partner → Cesar</t>
        </is>
      </c>
      <c r="B12" s="24">
        <f>B10</f>
        <v/>
      </c>
    </row>
    <row r="14">
      <c r="A14" s="2" t="inlineStr">
        <is>
          <t>2) PROFIT CATCH-UP (if past leftovers were split 50/50)</t>
        </is>
      </c>
    </row>
    <row r="15" ht="48" customHeight="1">
      <c r="A15" s="13" t="inlineStr">
        <is>
          <t>If Partner was paid 50% of leftovers while only owning 20%, they were overpaid relative to ownership. Set to $0 on Assumptions if you already agreed profits were intentionally 50/50 as sweat equity — then only use the expense true-up.</t>
        </is>
      </c>
    </row>
    <row r="17">
      <c r="A17" s="5" t="inlineStr">
        <is>
          <t>Item</t>
        </is>
      </c>
      <c r="B17" s="5" t="inlineStr">
        <is>
          <t>Amount</t>
        </is>
      </c>
    </row>
    <row r="18">
      <c r="A18" s="9" t="inlineStr">
        <is>
          <t>Partner profit overpay vs 20% ownership (sum)</t>
        </is>
      </c>
      <c r="B18" s="24">
        <f>MAX(0,MonthlyTracker!N34)</f>
        <v/>
      </c>
    </row>
    <row r="19">
      <c r="A19" s="9" t="inlineStr">
        <is>
          <t>Include profit catch-up in total? (1=yes, 0=no)</t>
        </is>
      </c>
      <c r="B19" s="29" t="n">
        <v>1</v>
      </c>
    </row>
    <row r="20">
      <c r="A20" s="9" t="inlineStr">
        <is>
          <t>TOTAL suggested true-up Partner pays Cesar</t>
        </is>
      </c>
      <c r="B20" s="11">
        <f>B12+B19*B18</f>
        <v/>
      </c>
    </row>
    <row r="22">
      <c r="A22" s="2" t="inlineStr">
        <is>
          <t>3) GOING FORWARD — pick a written rule</t>
        </is>
      </c>
    </row>
    <row r="23" ht="110" customHeight="1">
      <c r="A23" s="3" t="inlineStr">
        <is>
          <t>Option A — Stay 80/20: every month, Partner transfers 20% of rent+ops to the joint account (or you invoice them). Profit distributions also 80/20.
Option B — Buy up to 50/50: Partner pays the capital buy-up on Scenarios!B31, then expenses and profits split 50/50.
Option C — Loan: record Cesar's excess capital as a loan; no profit distributions to Partner until loan is current.
Until one of these is written down, keep logging months in Monthly Tracker so the true-up number stays current.</t>
        </is>
      </c>
    </row>
    <row r="25">
      <c r="A25" s="2" t="inlineStr">
        <is>
          <t>Simple talk track</t>
        </is>
      </c>
    </row>
    <row r="26" ht="80" customHeight="1">
      <c r="A26" s="13" t="inlineStr">
        <is>
          <t>"Ownership is 75/25 — same as the $45k / $15k we put in. Bills come out of the shop account first. At break-even my revenue share still paid about 75% of rent and expenses, and there's nothing left to draw. Going forward you put in 25% of the monthly burn (~$625) so the account isn't only my money."</t>
        </is>
      </c>
    </row>
    <row r="28">
      <c r="A28" s="38" t="inlineStr">
        <is>
          <t>NEW DEAL (Cesar sit-down)</t>
        </is>
      </c>
    </row>
    <row r="29" ht="70" customHeight="1">
      <c r="A29" s="13" t="inlineStr">
        <is>
          <t>Sit at $60k → $30k each. Document partner sends (no verbal $16k/$19k). Until documented = $30k: expenses 50/50 from PERSONAL pockets (not shop account). Historical clawback = his 50% of bills paid from shop account (ballpark $7,500 on 6×$2,500). See finance/cesar-money-clawback.xlsx.</t>
        </is>
      </c>
    </row>
  </sheetData>
  <mergeCells count="6">
    <mergeCell ref="A1:D1"/>
    <mergeCell ref="A23:D23"/>
    <mergeCell ref="A4:D4"/>
    <mergeCell ref="A26:D26"/>
    <mergeCell ref="A15:D15"/>
    <mergeCell ref="A29:D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Capital Accounts (running picture)</t>
        </is>
      </c>
    </row>
    <row r="2" ht="36" customHeight="1">
      <c r="A2" s="13" t="inlineStr">
        <is>
          <t>Starting capital → minus fair share of expenses → plus profit allocations → plus personal cash. If Partner's balance goes negative vs fair contributions, that's the debt.</t>
        </is>
      </c>
    </row>
    <row r="4">
      <c r="A4" s="5" t="inlineStr"/>
      <c r="B4" s="5" t="inlineStr">
        <is>
          <t>Cesar</t>
        </is>
      </c>
      <c r="C4" s="5" t="inlineStr">
        <is>
          <t>Partner</t>
        </is>
      </c>
      <c r="D4" s="5" t="inlineStr">
        <is>
          <t>Combined</t>
        </is>
      </c>
    </row>
    <row r="5">
      <c r="A5" s="35" t="inlineStr">
        <is>
          <t>Starting capital</t>
        </is>
      </c>
      <c r="B5" s="7">
        <f>Assumptions!B6</f>
        <v/>
      </c>
      <c r="C5" s="7">
        <f>Assumptions!C6</f>
        <v/>
      </c>
      <c r="D5" s="7">
        <f>B5+C5</f>
        <v/>
      </c>
    </row>
    <row r="6">
      <c r="A6" s="14" t="inlineStr">
        <is>
          <t>+ Personal cash contributed (tracker)</t>
        </is>
      </c>
      <c r="B6" s="7">
        <f>MonthlyTracker!I34</f>
        <v/>
      </c>
      <c r="C6" s="7">
        <f>MonthlyTracker!J34</f>
        <v/>
      </c>
      <c r="D6" s="7">
        <f>B6+C6</f>
        <v/>
      </c>
    </row>
    <row r="7">
      <c r="A7" s="14" t="inlineStr">
        <is>
          <t>− Fair share of expenses</t>
        </is>
      </c>
      <c r="B7" s="7">
        <f>MonthlyTracker!E34*Assumptions!B17</f>
        <v/>
      </c>
      <c r="C7" s="7">
        <f>MonthlyTracker!E34*Assumptions!C17</f>
        <v/>
      </c>
      <c r="D7" s="7">
        <f>B7+C7</f>
        <v/>
      </c>
    </row>
    <row r="8">
      <c r="A8" s="14" t="inlineStr">
        <is>
          <t>+ Fair share of positive leftovers</t>
        </is>
      </c>
      <c r="B8" s="7">
        <f>MAX(0,MonthlyTracker!F34)*Assumptions!B18</f>
        <v/>
      </c>
      <c r="C8" s="7">
        <f>MAX(0,MonthlyTracker!F34)*Assumptions!C18</f>
        <v/>
      </c>
      <c r="D8" s="7">
        <f>B8+C8</f>
        <v/>
      </c>
    </row>
    <row r="9">
      <c r="A9" s="14" t="inlineStr">
        <is>
          <t>− Profit already distributed</t>
        </is>
      </c>
      <c r="B9" s="7">
        <f>MonthlyTracker!G34</f>
        <v/>
      </c>
      <c r="C9" s="7">
        <f>MonthlyTracker!H34</f>
        <v/>
      </c>
      <c r="D9" s="7">
        <f>B9+C9</f>
        <v/>
      </c>
    </row>
    <row r="10">
      <c r="A10" s="35" t="inlineStr">
        <is>
          <t>Ending capital (model)</t>
        </is>
      </c>
      <c r="B10" s="36">
        <f>B5+B6-B7+B8-B9</f>
        <v/>
      </c>
      <c r="C10" s="36">
        <f>C5+C6-C7+C8-C9</f>
        <v/>
      </c>
      <c r="D10" s="36">
        <f>B10+C10</f>
        <v/>
      </c>
    </row>
    <row r="12">
      <c r="A12" s="2" t="inlineStr">
        <is>
          <t>Partner capital gap vs 20% of combined ending capital</t>
        </is>
      </c>
    </row>
    <row r="13">
      <c r="A13" s="6" t="inlineStr">
        <is>
          <t>Partner should hold (ownership × combined)</t>
        </is>
      </c>
      <c r="B13" s="7">
        <f>D10*Assumptions!C5</f>
        <v/>
      </c>
    </row>
    <row r="14">
      <c r="A14" s="6" t="inlineStr">
        <is>
          <t>Partner actually holds (model)</t>
        </is>
      </c>
      <c r="B14" s="7">
        <f>C10</f>
        <v/>
      </c>
    </row>
    <row r="15">
      <c r="A15" s="9" t="inlineStr">
        <is>
          <t>Gap (positive = Partner under-capitalized / owes value)</t>
        </is>
      </c>
      <c r="B15" s="24">
        <f>B13-B14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deposit / first-last</t>
        </is>
      </c>
    </row>
    <row r="2">
      <c r="A2" t="inlineStr">
        <is>
          <t>Construction / contractor / permits</t>
        </is>
      </c>
    </row>
    <row r="3">
      <c r="A3" t="inlineStr">
        <is>
          <t>Plumbing / electrical / HVAC</t>
        </is>
      </c>
    </row>
    <row r="4">
      <c r="A4" t="inlineStr">
        <is>
          <t>Flooring / paint / finishes</t>
        </is>
      </c>
    </row>
    <row r="5">
      <c r="A5" t="inlineStr">
        <is>
          <t>Barber chairs / stations / mirrors</t>
        </is>
      </c>
    </row>
    <row r="6">
      <c r="A6" t="inlineStr">
        <is>
          <t>Waiting area / furniture</t>
        </is>
      </c>
    </row>
    <row r="7">
      <c r="A7" t="inlineStr">
        <is>
          <t>Signage / exterior / branding</t>
        </is>
      </c>
    </row>
    <row r="8">
      <c r="A8" t="inlineStr">
        <is>
          <t>POS / computers / cameras / WiFi</t>
        </is>
      </c>
    </row>
    <row r="9">
      <c r="A9" t="inlineStr">
        <is>
          <t>Opening supplies / inventory</t>
        </is>
      </c>
    </row>
    <row r="10">
      <c r="A10" t="inlineStr">
        <is>
          <t>Licenses / legal / LLC / insurance setup</t>
        </is>
      </c>
    </row>
    <row r="11">
      <c r="A11" t="inlineStr">
        <is>
          <t>Marketing / grand opening</t>
        </is>
      </c>
    </row>
    <row r="12">
      <c r="A12" t="inlineStr">
        <is>
          <t>Other buildout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2026-09-08T17:06:34Z</dcterms:created>
  <dcterms:modified xsi:type="dcterms:W3CDTF">2026-09-08T17:39:08Z</dcterms:modified>
</cp:coreProperties>
</file>