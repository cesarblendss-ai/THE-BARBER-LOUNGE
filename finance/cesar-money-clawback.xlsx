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wback" sheetId="1" state="visible" r:id="rId1"/>
    <sheet name="MonthByMonth" sheetId="2" state="visible" r:id="rId2"/>
  </sheets>
  <definedNames/>
  <calcPr calcId="124519" fullCalcOnLoad="1"/>
</workbook>
</file>

<file path=xl/styles.xml><?xml version="1.0" encoding="utf-8"?>
<styleSheet xmlns="http://schemas.openxmlformats.org/spreadsheetml/2006/main">
  <numFmts count="1">
    <numFmt numFmtId="164" formatCode="&quot;$&quot;#,##0.00"/>
  </numFmts>
  <fonts count="6">
    <font>
      <name val="Calibri"/>
      <family val="2"/>
      <color theme="1"/>
      <sz val="11"/>
      <scheme val="minor"/>
    </font>
    <font>
      <name val="Calibri"/>
      <b val="1"/>
      <sz val="16"/>
    </font>
    <font>
      <name val="Calibri"/>
      <b val="1"/>
      <sz val="12"/>
    </font>
    <font>
      <name val="Calibri"/>
      <b val="1"/>
      <color rgb="00FFFFFF"/>
      <sz val="11"/>
    </font>
    <font>
      <name val="Calibri"/>
      <b val="1"/>
      <sz val="14"/>
    </font>
    <font>
      <b val="1"/>
    </font>
  </fonts>
  <fills count="7">
    <fill>
      <patternFill/>
    </fill>
    <fill>
      <patternFill patternType="gray125"/>
    </fill>
    <fill>
      <patternFill patternType="solid">
        <fgColor rgb="001A1A1A"/>
      </patternFill>
    </fill>
    <fill>
      <patternFill patternType="solid">
        <fgColor rgb="00FFF3CD"/>
      </patternFill>
    </fill>
    <fill>
      <patternFill patternType="solid">
        <fgColor rgb="00E8F4EA"/>
      </patternFill>
    </fill>
    <fill>
      <patternFill patternType="solid">
        <fgColor rgb="00F8D7DA"/>
      </patternFill>
    </fill>
    <fill>
      <patternFill patternType="solid">
        <fgColor rgb="00D1E7DD"/>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19">
    <xf numFmtId="0" fontId="0" fillId="0" borderId="0" pivotButton="0" quotePrefix="0" xfId="0"/>
    <xf numFmtId="0" fontId="1" fillId="0" borderId="0" pivotButton="0" quotePrefix="0" xfId="0"/>
    <xf numFmtId="0" fontId="0" fillId="0" borderId="0" applyAlignment="1" pivotButton="0" quotePrefix="0" xfId="0">
      <alignment wrapText="1"/>
    </xf>
    <xf numFmtId="0" fontId="2" fillId="0" borderId="0" pivotButton="0" quotePrefix="0" xfId="0"/>
    <xf numFmtId="0" fontId="3" fillId="2" borderId="1" applyAlignment="1" pivotButton="0" quotePrefix="0" xfId="0">
      <alignment horizontal="center" wrapText="1"/>
    </xf>
    <xf numFmtId="0" fontId="0" fillId="0" borderId="1" pivotButton="0" quotePrefix="0" xfId="0"/>
    <xf numFmtId="164" fontId="0" fillId="3" borderId="1" pivotButton="0" quotePrefix="0" xfId="0"/>
    <xf numFmtId="1" fontId="0" fillId="3" borderId="1" pivotButton="0" quotePrefix="0" xfId="0"/>
    <xf numFmtId="9" fontId="0" fillId="3" borderId="1" pivotButton="0" quotePrefix="0" xfId="0"/>
    <xf numFmtId="164" fontId="0" fillId="4" borderId="1" pivotButton="0" quotePrefix="0" xfId="0"/>
    <xf numFmtId="164" fontId="4" fillId="5" borderId="1" pivotButton="0" quotePrefix="0" xfId="0"/>
    <xf numFmtId="0" fontId="0" fillId="0" borderId="0" applyAlignment="1" pivotButton="0" quotePrefix="0" xfId="0">
      <alignment vertical="top" wrapText="1"/>
    </xf>
    <xf numFmtId="164" fontId="0" fillId="5" borderId="1" pivotButton="0" quotePrefix="0" xfId="0"/>
    <xf numFmtId="0" fontId="0" fillId="3" borderId="1" pivotButton="0" quotePrefix="0" xfId="0"/>
    <xf numFmtId="0" fontId="5" fillId="0" borderId="0" pivotButton="0" quotePrefix="0" xfId="0"/>
    <xf numFmtId="164" fontId="5" fillId="4" borderId="1" pivotButton="0" quotePrefix="0" xfId="0"/>
    <xf numFmtId="164" fontId="5" fillId="5" borderId="1" pivotButton="0" quotePrefix="0" xfId="0"/>
    <xf numFmtId="0" fontId="3" fillId="2" borderId="1" pivotButton="0" quotePrefix="0" xfId="0"/>
    <xf numFmtId="164" fontId="0" fillId="6"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0"/>
  <sheetViews>
    <sheetView showGridLines="0" workbookViewId="0">
      <selection activeCell="A1" sqref="A1"/>
    </sheetView>
  </sheetViews>
  <sheetFormatPr baseColWidth="8" defaultRowHeight="15"/>
  <cols>
    <col width="58" customWidth="1" min="1" max="1"/>
    <col width="14" customWidth="1" min="2" max="2"/>
    <col width="62" customWidth="1" min="3" max="3"/>
    <col width="14" customWidth="1" min="4" max="4"/>
  </cols>
  <sheetData>
    <row r="1">
      <c r="A1" s="1" t="inlineStr">
        <is>
          <t>Money you lost — bills paid from shop account instead of him paying half</t>
        </is>
      </c>
    </row>
    <row r="2" ht="60" customHeight="1">
      <c r="A2" s="2" t="inlineStr">
        <is>
          <t>The problem in one line: if rent/expenses clear the business account, and that account is mostly YOUR revenue/capital, then when he “pays debt” from that same pot he is paying you with YOUR money. Going forward: sit at $60k = $30k each, and he pays 50% of rent/expenses out of HIS pocket until debt is cleared.</t>
        </is>
      </c>
    </row>
    <row r="4">
      <c r="A4" s="3" t="inlineStr">
        <is>
          <t>INPUTS (edit yellow)</t>
        </is>
      </c>
    </row>
    <row r="5">
      <c r="A5" s="4" t="inlineStr">
        <is>
          <t>Input</t>
        </is>
      </c>
      <c r="B5" s="4" t="inlineStr">
        <is>
          <t>Amount</t>
        </is>
      </c>
      <c r="C5" s="4" t="inlineStr">
        <is>
          <t>Notes</t>
        </is>
      </c>
    </row>
    <row r="6">
      <c r="A6" s="5" t="inlineStr">
        <is>
          <t>Monthly rent</t>
        </is>
      </c>
      <c r="B6" s="6" t="n">
        <v>1700</v>
      </c>
      <c r="C6" s="5" t="inlineStr">
        <is>
          <t>You said $1,700</t>
        </is>
      </c>
    </row>
    <row r="7">
      <c r="A7" s="5" t="inlineStr">
        <is>
          <t>Other monthly expenses</t>
        </is>
      </c>
      <c r="B7" s="6" t="n">
        <v>800</v>
      </c>
      <c r="C7" s="5" t="inlineStr">
        <is>
          <t>You said ~$800</t>
        </is>
      </c>
    </row>
    <row r="8">
      <c r="A8" s="5" t="inlineStr">
        <is>
          <t>Months paid from business account</t>
        </is>
      </c>
      <c r="B8" s="7" t="n">
        <v>6</v>
      </c>
      <c r="C8" s="5" t="inlineStr">
        <is>
          <t>First ~6 months — edit if more</t>
        </is>
      </c>
    </row>
    <row r="9">
      <c r="A9" s="5" t="inlineStr">
        <is>
          <t>Total shop revenue those months (optional)</t>
        </is>
      </c>
      <c r="B9" s="6" t="n">
        <v>15000</v>
      </c>
      <c r="C9" s="5" t="inlineStr">
        <is>
          <t>Default = break-even (= burn). Replace with real deposits</t>
        </is>
      </c>
    </row>
    <row r="10">
      <c r="A10" s="5" t="inlineStr">
        <is>
          <t>Your revenue draw % you wanted</t>
        </is>
      </c>
      <c r="B10" s="8" t="n">
        <v>0.8</v>
      </c>
      <c r="C10" s="5" t="inlineStr">
        <is>
          <t>You said withdraw YOUR 80% of revenue</t>
        </is>
      </c>
    </row>
    <row r="11">
      <c r="A11" s="5" t="inlineStr">
        <is>
          <t>His expense share going forward / clawback rule</t>
        </is>
      </c>
      <c r="B11" s="8" t="n">
        <v>0.5</v>
      </c>
      <c r="C11" s="5" t="inlineStr">
        <is>
          <t>50% of rent &amp; expenses — new deal</t>
        </is>
      </c>
    </row>
    <row r="12">
      <c r="A12" s="5" t="inlineStr">
        <is>
          <t>New capital deal each</t>
        </is>
      </c>
      <c r="B12" s="6" t="n">
        <v>30000</v>
      </c>
      <c r="C12" s="5" t="inlineStr">
        <is>
          <t>$60k sit / $30k each</t>
        </is>
      </c>
    </row>
    <row r="13">
      <c r="A13" s="5" t="inlineStr">
        <is>
          <t>What he has DOCUMENTED sent (audit)</t>
        </is>
      </c>
      <c r="B13" s="6" t="n">
        <v>0</v>
      </c>
      <c r="C13" s="5" t="inlineStr">
        <is>
          <t>From partner-money-received.xlsx — edit when proven</t>
        </is>
      </c>
    </row>
    <row r="14">
      <c r="A14" s="5" t="inlineStr">
        <is>
          <t>Debt payments he already sent you (proven)</t>
        </is>
      </c>
      <c r="B14" s="6" t="n">
        <v>0</v>
      </c>
      <c r="C14" s="5" t="inlineStr">
        <is>
          <t>Venmo/Zelle he called “debt payback” — evidence only</t>
        </is>
      </c>
    </row>
    <row r="15"/>
    <row r="16">
      <c r="A16" s="3" t="inlineStr">
        <is>
          <t>WHAT ACTUALLY HAPPENED</t>
        </is>
      </c>
    </row>
    <row r="17">
      <c r="A17" s="4" t="inlineStr">
        <is>
          <t>Metric</t>
        </is>
      </c>
      <c r="B17" s="4" t="inlineStr">
        <is>
          <t>Amount</t>
        </is>
      </c>
      <c r="C17" s="4" t="inlineStr">
        <is>
          <t>Meaning</t>
        </is>
      </c>
    </row>
    <row r="18">
      <c r="A18" s="5" t="inlineStr">
        <is>
          <t>Monthly burn</t>
        </is>
      </c>
      <c r="B18" s="9">
        <f>B6+B7</f>
        <v/>
      </c>
      <c r="C18" s="5" t="inlineStr">
        <is>
          <t>Rent + other</t>
        </is>
      </c>
    </row>
    <row r="19">
      <c r="A19" s="5" t="inlineStr">
        <is>
          <t>Total expenses from business account</t>
        </is>
      </c>
      <c r="B19" s="9">
        <f>(B6+B7)*B8</f>
        <v/>
      </c>
      <c r="C19" s="5" t="inlineStr">
        <is>
          <t>What left the shop account for bills</t>
        </is>
      </c>
    </row>
    <row r="20">
      <c r="A20" s="5" t="inlineStr">
        <is>
          <t>Total revenue in those months</t>
        </is>
      </c>
      <c r="B20" s="9">
        <f>B9</f>
        <v/>
      </c>
      <c r="C20" s="5" t="inlineStr">
        <is>
          <t>Default break-even</t>
        </is>
      </c>
    </row>
    <row r="21">
      <c r="A21" s="5" t="inlineStr">
        <is>
          <t>Leftover after bills (actual)</t>
        </is>
      </c>
      <c r="B21" s="9">
        <f>B20-B19</f>
        <v/>
      </c>
      <c r="C21" s="5" t="inlineStr">
        <is>
          <t>~$0 at break-even = $0 draw</t>
        </is>
      </c>
    </row>
    <row r="22">
      <c r="A22" s="5" t="inlineStr">
        <is>
          <t>Your actual cash draw from leftover</t>
        </is>
      </c>
      <c r="B22" s="9">
        <f>MAX(0,B21)*B10</f>
        <v/>
      </c>
      <c r="C22" s="5" t="inlineStr">
        <is>
          <t>Basically $0 when break-even</t>
        </is>
      </c>
    </row>
    <row r="24">
      <c r="A24" s="3" t="inlineStr">
        <is>
          <t>COUNTERFACTUAL (what you are owed back)</t>
        </is>
      </c>
    </row>
    <row r="25" ht="40" customHeight="1">
      <c r="A25" s="2" t="inlineStr">
        <is>
          <t>Rule you described: you take your revenue share out; HE pays 50% of rent/expenses from HIS pocket. So every dollar of HIS 50% that was instead pulled from the business account = YOUR money covering HIS bills.</t>
        </is>
      </c>
    </row>
    <row r="26">
      <c r="A26" s="4" t="inlineStr">
        <is>
          <t>Metric</t>
        </is>
      </c>
      <c r="B26" s="4" t="inlineStr">
        <is>
          <t>Amount</t>
        </is>
      </c>
      <c r="C26" s="4" t="inlineStr">
        <is>
          <t>Meaning</t>
        </is>
      </c>
    </row>
    <row r="27">
      <c r="A27" s="5" t="inlineStr">
        <is>
          <t>HIS half of expenses (50%) — THE CLAWBACK</t>
        </is>
      </c>
      <c r="B27" s="10">
        <f>B19*B11</f>
        <v/>
      </c>
      <c r="C27" s="5" t="inlineStr">
        <is>
          <t>This is the core “give me my money back” number</t>
        </is>
      </c>
    </row>
    <row r="28">
      <c r="A28" s="5" t="inlineStr">
        <is>
          <t>YOUR half of expenses (50%)</t>
        </is>
      </c>
      <c r="B28" s="9">
        <f>B19*(1-B11)</f>
        <v/>
      </c>
      <c r="C28" s="5" t="inlineStr">
        <is>
          <t>Fair for you to cover under new deal</t>
        </is>
      </c>
    </row>
    <row r="29">
      <c r="A29" s="5" t="inlineStr">
        <is>
          <t>Revenue you should have been able to withdraw (80%)</t>
        </is>
      </c>
      <c r="B29" s="9">
        <f>B20*B10</f>
        <v/>
      </c>
      <c r="C29" s="5" t="inlineStr">
        <is>
          <t>Your claimed revenue share before/without his free ride</t>
        </is>
      </c>
    </row>
    <row r="30">
      <c r="A30" s="5" t="inlineStr">
        <is>
          <t>Of your 80% revenue, amount eaten by HIS unpaid half</t>
        </is>
      </c>
      <c r="B30" s="9">
        <f>MIN(B29,B27)</f>
        <v/>
      </c>
      <c r="C30" s="5" t="inlineStr">
        <is>
          <t>How his unpaid half consumed your draw</t>
        </is>
      </c>
    </row>
    <row r="32">
      <c r="A32" s="3" t="inlineStr">
        <is>
          <t>WHY “HE’S PAYING DEBT WITH MY MONEY”</t>
        </is>
      </c>
    </row>
    <row r="33" ht="110" customHeight="1">
      <c r="A33" s="11" t="inlineStr">
        <is>
          <t>If debt payback is taken from the business account:
1) Revenue hits the account (including YOUR share).
2) Account pays rent/expenses (including HIS half).
3) Leftover (if any) is called “him paying you back.”
That leftover was already yours / joint — it is not fresh money from his pocket.
Fix: he pays rent/expense half from PERSONAL funds (Venmo/Zelle to landlord or to you), AND debt from PERSONAL funds — never from the shop pot — until documented capital = $30k.</t>
        </is>
      </c>
    </row>
    <row r="35">
      <c r="A35" s="3" t="inlineStr">
        <is>
          <t>NEW DEAL SCOREBOARD ($60k / $30k each)</t>
        </is>
      </c>
    </row>
    <row r="36">
      <c r="A36" s="4" t="inlineStr">
        <is>
          <t>Metric</t>
        </is>
      </c>
      <c r="B36" s="4" t="inlineStr">
        <is>
          <t>Amount</t>
        </is>
      </c>
      <c r="C36" s="4" t="inlineStr">
        <is>
          <t>Notes</t>
        </is>
      </c>
    </row>
    <row r="37">
      <c r="A37" s="5" t="inlineStr">
        <is>
          <t>Target capital each</t>
        </is>
      </c>
      <c r="B37" s="9">
        <f>B12</f>
        <v/>
      </c>
      <c r="C37" s="5" t="inlineStr">
        <is>
          <t>Equal partners going forward</t>
        </is>
      </c>
    </row>
    <row r="38">
      <c r="A38" s="5" t="inlineStr">
        <is>
          <t>Documented he has sent</t>
        </is>
      </c>
      <c r="B38" s="9">
        <f>B13</f>
        <v/>
      </c>
      <c r="C38" s="5" t="inlineStr">
        <is>
          <t>Evidence only</t>
        </is>
      </c>
    </row>
    <row r="39">
      <c r="A39" s="5" t="inlineStr">
        <is>
          <t>Capital debt still owed to hit $30k</t>
        </is>
      </c>
      <c r="B39" s="9">
        <f>MAX(0,B12-B13)</f>
        <v/>
      </c>
      <c r="C39" s="5" t="inlineStr">
        <is>
          <t>Until this is $0, expense rule stays strict</t>
        </is>
      </c>
    </row>
    <row r="40">
      <c r="A40" s="5" t="inlineStr">
        <is>
          <t>Expense clawback he owes you (his unpaid 50%)</t>
        </is>
      </c>
      <c r="B40" s="12">
        <f>B27</f>
        <v/>
      </c>
      <c r="C40" s="5" t="inlineStr">
        <is>
          <t>Same as HIS half of historical burn</t>
        </is>
      </c>
    </row>
    <row r="41">
      <c r="A41" s="5" t="inlineStr">
        <is>
          <t>TOTAL he owes you now (capital debt + clawback)</t>
        </is>
      </c>
      <c r="B41" s="10">
        <f>B39+B40</f>
        <v/>
      </c>
      <c r="C41" s="5" t="inlineStr">
        <is>
          <t>Open this number in the sit-down</t>
        </is>
      </c>
    </row>
    <row r="43">
      <c r="A43" s="3" t="inlineStr">
        <is>
          <t>DEFAULT MATH WITH YOUR BALLPARK (6 mo × $2,500)</t>
        </is>
      </c>
    </row>
    <row r="44" ht="70" customHeight="1">
      <c r="A44" s="2" t="inlineStr">
        <is>
          <t>Monthly burn $2,500 × 6 = $15,000 from the business account.
His 50% clawback = $7,500.
That $7,500 is the clean “you covered my half of rent/expenses with shop money — pay it back from YOUR pocket.”
If months ≠ 6 or burn ≠ $2,500, edit the yellow inputs and B27 updates.</t>
        </is>
      </c>
    </row>
    <row r="46">
      <c r="A46" s="3" t="inlineStr">
        <is>
          <t>Sit-down script</t>
        </is>
      </c>
    </row>
    <row r="47" ht="90" customHeight="1">
      <c r="A47" s="2" t="inlineStr">
        <is>
          <t>"We're sitting the shop at $60k — $30k each. We're going to add up every dollar you actually sent me; claims don't count.
Until your documented capital is $30k, rent and expenses are 50/50 from our pockets — not from the business account.
Also: for the months bills were paid from the business account, your half is about $7,500 (edit if months differ). That was my money covering your half. That gets paid back too — from your pocket, not from the shop."</t>
        </is>
      </c>
    </row>
    <row r="49">
      <c r="A49" s="3" t="inlineStr">
        <is>
          <t>NET SETTLEMENT (your idea — correct)</t>
        </is>
      </c>
    </row>
    <row r="50" ht="55" customHeight="1">
      <c r="A50" s="2" t="inlineStr">
        <is>
          <t>You overpaid his half of expenses from the shop account. Any money he already sent as “debt” gets subtracted from that overpay. Only the NET still owed is what he writes a check for on expenses. Capital to hit $30k stays a SEPARATE line (don’t mix unless you agree to apply debt payments to capital instead).</t>
        </is>
      </c>
    </row>
    <row r="52">
      <c r="A52" s="17" t="inlineStr">
        <is>
          <t>Item</t>
        </is>
      </c>
      <c r="B52" s="17" t="inlineStr">
        <is>
          <t>Amount</t>
        </is>
      </c>
      <c r="C52" s="17" t="inlineStr">
        <is>
          <t>Notes</t>
        </is>
      </c>
    </row>
    <row r="53">
      <c r="A53" s="5" t="inlineStr">
        <is>
          <t>You overpaid (his 50% of shop-paid bills)</t>
        </is>
      </c>
      <c r="B53" s="9">
        <f>B27</f>
        <v/>
      </c>
      <c r="C53" s="5" t="inlineStr">
        <is>
          <t>Clawback before credit</t>
        </is>
      </c>
    </row>
    <row r="54">
      <c r="A54" s="5" t="inlineStr">
        <is>
          <t>Minus: debt payments he already sent (proven)</t>
        </is>
      </c>
      <c r="B54" s="6">
        <f>B14</f>
        <v/>
      </c>
      <c r="C54" s="5" t="inlineStr">
        <is>
          <t>Credit against clawback</t>
        </is>
      </c>
    </row>
    <row r="55">
      <c r="A55" s="5" t="inlineStr">
        <is>
          <t>NET expense clawback still owed to you</t>
        </is>
      </c>
      <c r="B55" s="10">
        <f>MAX(0,B27-B14)</f>
        <v/>
      </c>
      <c r="C55" s="5" t="inlineStr">
        <is>
          <t>Check he still owes for expenses</t>
        </is>
      </c>
    </row>
    <row r="56">
      <c r="A56" s="5" t="inlineStr">
        <is>
          <t>If debt payments exceed clawback (leftover credit)</t>
        </is>
      </c>
      <c r="B56" s="18">
        <f>MAX(0,B14-B27)</f>
        <v/>
      </c>
      <c r="C56" s="5" t="inlineStr">
        <is>
          <t>Can apply to his $30k capital</t>
        </is>
      </c>
    </row>
    <row r="57">
      <c r="A57" s="5" t="inlineStr">
        <is>
          <t>Capital still needed for $30k</t>
        </is>
      </c>
      <c r="B57" s="9">
        <f>MAX(0,B12-B13)</f>
        <v/>
      </c>
      <c r="C57" s="5" t="inlineStr">
        <is>
          <t>Separate line</t>
        </is>
      </c>
    </row>
    <row r="58">
      <c r="A58" s="5" t="inlineStr">
        <is>
          <t>GRAND TOTAL still owed (net clawback + capital gap)</t>
        </is>
      </c>
      <c r="B58" s="10">
        <f>B55+B57</f>
        <v/>
      </c>
      <c r="C58" s="5" t="inlineStr">
        <is>
          <t>Sit-down number</t>
        </is>
      </c>
    </row>
    <row r="60" ht="40" customHeight="1">
      <c r="A60" s="2" t="inlineStr">
        <is>
          <t>Example with defaults: overpay $7,500. If he already Venmo’d you $2,000 as “debt,” net clawback = $5,500. Then capital gap to $30k is still whatever documented capital is short.</t>
        </is>
      </c>
    </row>
  </sheetData>
  <mergeCells count="9">
    <mergeCell ref="A1:D1"/>
    <mergeCell ref="A60:C60"/>
    <mergeCell ref="A49:C49"/>
    <mergeCell ref="A25:D25"/>
    <mergeCell ref="A33:D33"/>
    <mergeCell ref="A2:D2"/>
    <mergeCell ref="A50:C50"/>
    <mergeCell ref="A47:D47"/>
    <mergeCell ref="A44:D4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12" customWidth="1" min="1" max="1"/>
    <col width="18" customWidth="1" min="2" max="2"/>
    <col width="12" customWidth="1" min="3" max="3"/>
    <col width="14" customWidth="1" min="4" max="4"/>
    <col width="14" customWidth="1" min="5" max="5"/>
    <col width="16" customWidth="1" min="6" max="6"/>
    <col width="36" customWidth="1" min="7" max="7"/>
  </cols>
  <sheetData>
    <row r="1">
      <c r="A1" s="1" t="inlineStr">
        <is>
          <t>Optional — log each month’s real revenue &amp; expenses for a tighter clawback</t>
        </is>
      </c>
    </row>
    <row r="3">
      <c r="A3" s="4" t="inlineStr">
        <is>
          <t>Month</t>
        </is>
      </c>
      <c r="B3" s="4" t="inlineStr">
        <is>
          <t>Revenue in shop account</t>
        </is>
      </c>
      <c r="C3" s="4" t="inlineStr">
        <is>
          <t>Rent</t>
        </is>
      </c>
      <c r="D3" s="4" t="inlineStr">
        <is>
          <t>Other expenses</t>
        </is>
      </c>
      <c r="E3" s="4" t="inlineStr">
        <is>
          <t>Total expenses</t>
        </is>
      </c>
      <c r="F3" s="4" t="inlineStr">
        <is>
          <t>His 50% (clawback)</t>
        </is>
      </c>
      <c r="G3" s="4" t="inlineStr">
        <is>
          <t>Notes</t>
        </is>
      </c>
    </row>
    <row r="4">
      <c r="A4" s="13" t="inlineStr">
        <is>
          <t>Month 1</t>
        </is>
      </c>
      <c r="B4" s="6" t="n">
        <v>2500</v>
      </c>
      <c r="C4" s="6" t="n">
        <v>1700</v>
      </c>
      <c r="D4" s="6" t="n">
        <v>800</v>
      </c>
      <c r="E4" s="9">
        <f>C4+D4</f>
        <v/>
      </c>
      <c r="F4" s="12">
        <f>E4*0.5</f>
        <v/>
      </c>
      <c r="G4" s="13" t="n"/>
    </row>
    <row r="5">
      <c r="A5" s="13" t="inlineStr">
        <is>
          <t>Month 2</t>
        </is>
      </c>
      <c r="B5" s="6" t="n">
        <v>2500</v>
      </c>
      <c r="C5" s="6" t="n">
        <v>1700</v>
      </c>
      <c r="D5" s="6" t="n">
        <v>800</v>
      </c>
      <c r="E5" s="9">
        <f>C5+D5</f>
        <v/>
      </c>
      <c r="F5" s="12">
        <f>E5*0.5</f>
        <v/>
      </c>
      <c r="G5" s="13" t="n"/>
    </row>
    <row r="6">
      <c r="A6" s="13" t="inlineStr">
        <is>
          <t>Month 3</t>
        </is>
      </c>
      <c r="B6" s="6" t="n">
        <v>2500</v>
      </c>
      <c r="C6" s="6" t="n">
        <v>1700</v>
      </c>
      <c r="D6" s="6" t="n">
        <v>800</v>
      </c>
      <c r="E6" s="9">
        <f>C6+D6</f>
        <v/>
      </c>
      <c r="F6" s="12">
        <f>E6*0.5</f>
        <v/>
      </c>
      <c r="G6" s="13" t="n"/>
    </row>
    <row r="7">
      <c r="A7" s="13" t="inlineStr">
        <is>
          <t>Month 4</t>
        </is>
      </c>
      <c r="B7" s="6" t="n">
        <v>2500</v>
      </c>
      <c r="C7" s="6" t="n">
        <v>1700</v>
      </c>
      <c r="D7" s="6" t="n">
        <v>800</v>
      </c>
      <c r="E7" s="9">
        <f>C7+D7</f>
        <v/>
      </c>
      <c r="F7" s="12">
        <f>E7*0.5</f>
        <v/>
      </c>
      <c r="G7" s="13" t="n"/>
    </row>
    <row r="8">
      <c r="A8" s="13" t="inlineStr">
        <is>
          <t>Month 5</t>
        </is>
      </c>
      <c r="B8" s="6" t="n">
        <v>2500</v>
      </c>
      <c r="C8" s="6" t="n">
        <v>1700</v>
      </c>
      <c r="D8" s="6" t="n">
        <v>800</v>
      </c>
      <c r="E8" s="9">
        <f>C8+D8</f>
        <v/>
      </c>
      <c r="F8" s="12">
        <f>E8*0.5</f>
        <v/>
      </c>
      <c r="G8" s="13" t="n"/>
    </row>
    <row r="9">
      <c r="A9" s="13" t="inlineStr">
        <is>
          <t>Month 6</t>
        </is>
      </c>
      <c r="B9" s="6" t="n">
        <v>2500</v>
      </c>
      <c r="C9" s="6" t="n">
        <v>1700</v>
      </c>
      <c r="D9" s="6" t="n">
        <v>800</v>
      </c>
      <c r="E9" s="9">
        <f>C9+D9</f>
        <v/>
      </c>
      <c r="F9" s="12">
        <f>E9*0.5</f>
        <v/>
      </c>
      <c r="G9" s="13" t="n"/>
    </row>
    <row r="10">
      <c r="A10" s="14" t="inlineStr">
        <is>
          <t>TOTAL</t>
        </is>
      </c>
      <c r="B10" s="15">
        <f>SUM(B4:B9)</f>
        <v/>
      </c>
      <c r="C10" s="15">
        <f>SUM(C4:C9)</f>
        <v/>
      </c>
      <c r="D10" s="15">
        <f>SUM(D4:D9)</f>
        <v/>
      </c>
      <c r="E10" s="15">
        <f>SUM(E4:E9)</f>
        <v/>
      </c>
      <c r="F10" s="16">
        <f>SUM(F4:F9)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2026-09-08T17:39:08Z</dcterms:created>
  <dcterms:modified xsi:type="dcterms:W3CDTF">2026-09-08T17:41:47Z</dcterms:modified>
</cp:coreProperties>
</file>