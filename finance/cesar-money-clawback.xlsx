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wback" sheetId="1" state="visible" r:id="rId1"/>
    <sheet name="MonthByMon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3CD"/>
      </patternFill>
    </fill>
    <fill>
      <patternFill patternType="solid">
        <fgColor rgb="00E8F4E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3" borderId="1" pivotButton="0" quotePrefix="0" xfId="0"/>
    <xf numFmtId="1" fontId="0" fillId="3" borderId="1" pivotButton="0" quotePrefix="0" xfId="0"/>
    <xf numFmtId="9" fontId="0" fillId="3" borderId="1" pivotButton="0" quotePrefix="0" xfId="0"/>
    <xf numFmtId="164" fontId="0" fillId="4" borderId="1" pivotButton="0" quotePrefix="0" xfId="0"/>
    <xf numFmtId="164" fontId="4" fillId="5" borderId="1" pivotButton="0" quotePrefix="0" xfId="0"/>
    <xf numFmtId="0" fontId="0" fillId="0" borderId="0" applyAlignment="1" pivotButton="0" quotePrefix="0" xfId="0">
      <alignment vertical="top" wrapText="1"/>
    </xf>
    <xf numFmtId="164" fontId="0" fillId="5" borderId="1" pivotButton="0" quotePrefix="0" xfId="0"/>
    <xf numFmtId="0" fontId="0" fillId="3" borderId="1" pivotButton="0" quotePrefix="0" xfId="0"/>
    <xf numFmtId="0" fontId="5" fillId="0" borderId="0" pivotButton="0" quotePrefix="0" xfId="0"/>
    <xf numFmtId="164" fontId="5" fillId="4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62" customWidth="1" min="3" max="3"/>
    <col width="14" customWidth="1" min="4" max="4"/>
  </cols>
  <sheetData>
    <row r="1">
      <c r="A1" s="1" t="inlineStr">
        <is>
          <t>Money you lost — bills paid from shop account instead of him paying half</t>
        </is>
      </c>
    </row>
    <row r="2" ht="60" customHeight="1">
      <c r="A2" s="2" t="inlineStr">
        <is>
          <t>The problem in one line: if rent/expenses clear the business account, and that account is mostly YOUR revenue/capital, then when he “pays debt” from that same pot he is paying you with YOUR money. Going forward: sit at $60k = $30k each, and he pays 50% of rent/expenses out of HIS pocket until debt is cleared.</t>
        </is>
      </c>
    </row>
    <row r="4">
      <c r="A4" s="3" t="inlineStr">
        <is>
          <t>INPUTS (edit yellow)</t>
        </is>
      </c>
    </row>
    <row r="5">
      <c r="A5" s="4" t="inlineStr">
        <is>
          <t>Input</t>
        </is>
      </c>
      <c r="B5" s="4" t="inlineStr">
        <is>
          <t>Amount</t>
        </is>
      </c>
      <c r="C5" s="4" t="inlineStr">
        <is>
          <t>Notes</t>
        </is>
      </c>
    </row>
    <row r="6">
      <c r="A6" s="5" t="inlineStr">
        <is>
          <t>Monthly rent</t>
        </is>
      </c>
      <c r="B6" s="6" t="n">
        <v>1700</v>
      </c>
      <c r="C6" s="5" t="inlineStr">
        <is>
          <t>You said $1,700</t>
        </is>
      </c>
    </row>
    <row r="7">
      <c r="A7" s="5" t="inlineStr">
        <is>
          <t>Other monthly expenses</t>
        </is>
      </c>
      <c r="B7" s="6" t="n">
        <v>800</v>
      </c>
      <c r="C7" s="5" t="inlineStr">
        <is>
          <t>You said ~$800</t>
        </is>
      </c>
    </row>
    <row r="8">
      <c r="A8" s="5" t="inlineStr">
        <is>
          <t>Months paid from business account</t>
        </is>
      </c>
      <c r="B8" s="7" t="n">
        <v>6</v>
      </c>
      <c r="C8" s="5" t="inlineStr">
        <is>
          <t>First ~6 months — edit if more</t>
        </is>
      </c>
    </row>
    <row r="9">
      <c r="A9" s="5" t="inlineStr">
        <is>
          <t>Total shop revenue those months (optional)</t>
        </is>
      </c>
      <c r="B9" s="6" t="n">
        <v>15000</v>
      </c>
      <c r="C9" s="5" t="inlineStr">
        <is>
          <t>Default = break-even (= burn). Replace with real deposits</t>
        </is>
      </c>
    </row>
    <row r="10">
      <c r="A10" s="5" t="inlineStr">
        <is>
          <t>Your revenue draw % you wanted</t>
        </is>
      </c>
      <c r="B10" s="8" t="n">
        <v>0.8</v>
      </c>
      <c r="C10" s="5" t="inlineStr">
        <is>
          <t>You said withdraw YOUR 80% of revenue</t>
        </is>
      </c>
    </row>
    <row r="11">
      <c r="A11" s="5" t="inlineStr">
        <is>
          <t>His expense share going forward / clawback rule</t>
        </is>
      </c>
      <c r="B11" s="8" t="n">
        <v>0.5</v>
      </c>
      <c r="C11" s="5" t="inlineStr">
        <is>
          <t>50% of rent &amp; expenses — new deal</t>
        </is>
      </c>
    </row>
    <row r="12">
      <c r="A12" s="5" t="inlineStr">
        <is>
          <t>New capital deal each</t>
        </is>
      </c>
      <c r="B12" s="6" t="n">
        <v>30000</v>
      </c>
      <c r="C12" s="5" t="inlineStr">
        <is>
          <t>$60k sit / $30k each</t>
        </is>
      </c>
    </row>
    <row r="13">
      <c r="A13" s="5" t="inlineStr">
        <is>
          <t>What he has DOCUMENTED sent (audit)</t>
        </is>
      </c>
      <c r="B13" s="6" t="n">
        <v>0</v>
      </c>
      <c r="C13" s="5" t="inlineStr">
        <is>
          <t>From partner-money-received.xlsx — edit when proven</t>
        </is>
      </c>
    </row>
    <row r="16">
      <c r="A16" s="3" t="inlineStr">
        <is>
          <t>WHAT ACTUALLY HAPPENED</t>
        </is>
      </c>
    </row>
    <row r="17">
      <c r="A17" s="4" t="inlineStr">
        <is>
          <t>Metric</t>
        </is>
      </c>
      <c r="B17" s="4" t="inlineStr">
        <is>
          <t>Amount</t>
        </is>
      </c>
      <c r="C17" s="4" t="inlineStr">
        <is>
          <t>Meaning</t>
        </is>
      </c>
    </row>
    <row r="18">
      <c r="A18" s="5" t="inlineStr">
        <is>
          <t>Monthly burn</t>
        </is>
      </c>
      <c r="B18" s="9">
        <f>B6+B7</f>
        <v/>
      </c>
      <c r="C18" s="5" t="inlineStr">
        <is>
          <t>Rent + other</t>
        </is>
      </c>
    </row>
    <row r="19">
      <c r="A19" s="5" t="inlineStr">
        <is>
          <t>Total expenses from business account</t>
        </is>
      </c>
      <c r="B19" s="9">
        <f>(B6+B7)*B8</f>
        <v/>
      </c>
      <c r="C19" s="5" t="inlineStr">
        <is>
          <t>What left the shop account for bills</t>
        </is>
      </c>
    </row>
    <row r="20">
      <c r="A20" s="5" t="inlineStr">
        <is>
          <t>Total revenue in those months</t>
        </is>
      </c>
      <c r="B20" s="9">
        <f>B9</f>
        <v/>
      </c>
      <c r="C20" s="5" t="inlineStr">
        <is>
          <t>Default break-even</t>
        </is>
      </c>
    </row>
    <row r="21">
      <c r="A21" s="5" t="inlineStr">
        <is>
          <t>Leftover after bills (actual)</t>
        </is>
      </c>
      <c r="B21" s="9">
        <f>B20-B19</f>
        <v/>
      </c>
      <c r="C21" s="5" t="inlineStr">
        <is>
          <t>~$0 at break-even = $0 draw</t>
        </is>
      </c>
    </row>
    <row r="22">
      <c r="A22" s="5" t="inlineStr">
        <is>
          <t>Your actual cash draw from leftover</t>
        </is>
      </c>
      <c r="B22" s="9">
        <f>MAX(0,B21)*B10</f>
        <v/>
      </c>
      <c r="C22" s="5" t="inlineStr">
        <is>
          <t>Basically $0 when break-even</t>
        </is>
      </c>
    </row>
    <row r="24">
      <c r="A24" s="3" t="inlineStr">
        <is>
          <t>COUNTERFACTUAL (what you are owed back)</t>
        </is>
      </c>
    </row>
    <row r="25" ht="40" customHeight="1">
      <c r="A25" s="2" t="inlineStr">
        <is>
          <t>Rule you described: you take your revenue share out; HE pays 50% of rent/expenses from HIS pocket. So every dollar of HIS 50% that was instead pulled from the business account = YOUR money covering HIS bills.</t>
        </is>
      </c>
    </row>
    <row r="26">
      <c r="A26" s="4" t="inlineStr">
        <is>
          <t>Metric</t>
        </is>
      </c>
      <c r="B26" s="4" t="inlineStr">
        <is>
          <t>Amount</t>
        </is>
      </c>
      <c r="C26" s="4" t="inlineStr">
        <is>
          <t>Meaning</t>
        </is>
      </c>
    </row>
    <row r="27">
      <c r="A27" s="5" t="inlineStr">
        <is>
          <t>HIS half of expenses (50%) — THE CLAWBACK</t>
        </is>
      </c>
      <c r="B27" s="10">
        <f>B19*B11</f>
        <v/>
      </c>
      <c r="C27" s="5" t="inlineStr">
        <is>
          <t>This is the core “give me my money back” number</t>
        </is>
      </c>
    </row>
    <row r="28">
      <c r="A28" s="5" t="inlineStr">
        <is>
          <t>YOUR half of expenses (50%)</t>
        </is>
      </c>
      <c r="B28" s="9">
        <f>B19*(1-B11)</f>
        <v/>
      </c>
      <c r="C28" s="5" t="inlineStr">
        <is>
          <t>Fair for you to cover under new deal</t>
        </is>
      </c>
    </row>
    <row r="29">
      <c r="A29" s="5" t="inlineStr">
        <is>
          <t>Revenue you should have been able to withdraw (80%)</t>
        </is>
      </c>
      <c r="B29" s="9">
        <f>B20*B10</f>
        <v/>
      </c>
      <c r="C29" s="5" t="inlineStr">
        <is>
          <t>Your claimed revenue share before/without his free ride</t>
        </is>
      </c>
    </row>
    <row r="30">
      <c r="A30" s="5" t="inlineStr">
        <is>
          <t>Of your 80% revenue, amount eaten by HIS unpaid half</t>
        </is>
      </c>
      <c r="B30" s="9">
        <f>MIN(B29,B27)</f>
        <v/>
      </c>
      <c r="C30" s="5" t="inlineStr">
        <is>
          <t>How his unpaid half consumed your draw</t>
        </is>
      </c>
    </row>
    <row r="32">
      <c r="A32" s="3" t="inlineStr">
        <is>
          <t>WHY “HE’S PAYING DEBT WITH MY MONEY”</t>
        </is>
      </c>
    </row>
    <row r="33" ht="110" customHeight="1">
      <c r="A33" s="11" t="inlineStr">
        <is>
          <t>If debt payback is taken from the business account:
1) Revenue hits the account (including YOUR share).
2) Account pays rent/expenses (including HIS half).
3) Leftover (if any) is called “him paying you back.”
That leftover was already yours / joint — it is not fresh money from his pocket.
Fix: he pays rent/expense half from PERSONAL funds (Venmo/Zelle to landlord or to you), AND debt from PERSONAL funds — never from the shop pot — until documented capital = $30k.</t>
        </is>
      </c>
    </row>
    <row r="35">
      <c r="A35" s="3" t="inlineStr">
        <is>
          <t>NEW DEAL SCOREBOARD ($60k / $30k each)</t>
        </is>
      </c>
    </row>
    <row r="36">
      <c r="A36" s="4" t="inlineStr">
        <is>
          <t>Metric</t>
        </is>
      </c>
      <c r="B36" s="4" t="inlineStr">
        <is>
          <t>Amount</t>
        </is>
      </c>
      <c r="C36" s="4" t="inlineStr">
        <is>
          <t>Notes</t>
        </is>
      </c>
    </row>
    <row r="37">
      <c r="A37" s="5" t="inlineStr">
        <is>
          <t>Target capital each</t>
        </is>
      </c>
      <c r="B37" s="9">
        <f>B12</f>
        <v/>
      </c>
      <c r="C37" s="5" t="inlineStr">
        <is>
          <t>Equal partners going forward</t>
        </is>
      </c>
    </row>
    <row r="38">
      <c r="A38" s="5" t="inlineStr">
        <is>
          <t>Documented he has sent</t>
        </is>
      </c>
      <c r="B38" s="9">
        <f>B13</f>
        <v/>
      </c>
      <c r="C38" s="5" t="inlineStr">
        <is>
          <t>Evidence only</t>
        </is>
      </c>
    </row>
    <row r="39">
      <c r="A39" s="5" t="inlineStr">
        <is>
          <t>Capital debt still owed to hit $30k</t>
        </is>
      </c>
      <c r="B39" s="9">
        <f>MAX(0,B12-B13)</f>
        <v/>
      </c>
      <c r="C39" s="5" t="inlineStr">
        <is>
          <t>Until this is $0, expense rule stays strict</t>
        </is>
      </c>
    </row>
    <row r="40">
      <c r="A40" s="5" t="inlineStr">
        <is>
          <t>Expense clawback he owes you (his unpaid 50%)</t>
        </is>
      </c>
      <c r="B40" s="12">
        <f>B27</f>
        <v/>
      </c>
      <c r="C40" s="5" t="inlineStr">
        <is>
          <t>Same as HIS half of historical burn</t>
        </is>
      </c>
    </row>
    <row r="41">
      <c r="A41" s="5" t="inlineStr">
        <is>
          <t>TOTAL he owes you now (capital debt + clawback)</t>
        </is>
      </c>
      <c r="B41" s="10">
        <f>B39+B40</f>
        <v/>
      </c>
      <c r="C41" s="5" t="inlineStr">
        <is>
          <t>Open this number in the sit-down</t>
        </is>
      </c>
    </row>
    <row r="43">
      <c r="A43" s="3" t="inlineStr">
        <is>
          <t>DEFAULT MATH WITH YOUR BALLPARK (6 mo × $2,500)</t>
        </is>
      </c>
    </row>
    <row r="44" ht="70" customHeight="1">
      <c r="A44" s="2" t="inlineStr">
        <is>
          <t>Monthly burn $2,500 × 6 = $15,000 from the business account.
His 50% clawback = $7,500.
That $7,500 is the clean “you covered my half of rent/expenses with shop money — pay it back from YOUR pocket.”
If months ≠ 6 or burn ≠ $2,500, edit the yellow inputs and B27 updates.</t>
        </is>
      </c>
    </row>
    <row r="46">
      <c r="A46" s="3" t="inlineStr">
        <is>
          <t>Sit-down script</t>
        </is>
      </c>
    </row>
    <row r="47" ht="90" customHeight="1">
      <c r="A47" s="2" t="inlineStr">
        <is>
          <t>"We're sitting the shop at $60k — $30k each. We're going to add up every dollar you actually sent me; claims don't count.
Until your documented capital is $30k, rent and expenses are 50/50 from our pockets — not from the business account.
Also: for the months bills were paid from the business account, your half is about $7,500 (edit if months differ). That was my money covering your half. That gets paid back too — from your pocket, not from the shop."</t>
        </is>
      </c>
    </row>
  </sheetData>
  <mergeCells count="6">
    <mergeCell ref="A1:D1"/>
    <mergeCell ref="A25:D25"/>
    <mergeCell ref="A33:D33"/>
    <mergeCell ref="A2:D2"/>
    <mergeCell ref="A47:D47"/>
    <mergeCell ref="A44:D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Optional — log each month’s real revenue &amp; expenses for a tighter clawback</t>
        </is>
      </c>
    </row>
    <row r="3">
      <c r="A3" s="4" t="inlineStr">
        <is>
          <t>Month</t>
        </is>
      </c>
      <c r="B3" s="4" t="inlineStr">
        <is>
          <t>Revenue in shop account</t>
        </is>
      </c>
      <c r="C3" s="4" t="inlineStr">
        <is>
          <t>Rent</t>
        </is>
      </c>
      <c r="D3" s="4" t="inlineStr">
        <is>
          <t>Other expenses</t>
        </is>
      </c>
      <c r="E3" s="4" t="inlineStr">
        <is>
          <t>Total expenses</t>
        </is>
      </c>
      <c r="F3" s="4" t="inlineStr">
        <is>
          <t>His 50% (clawback)</t>
        </is>
      </c>
      <c r="G3" s="4" t="inlineStr">
        <is>
          <t>Notes</t>
        </is>
      </c>
    </row>
    <row r="4">
      <c r="A4" s="13" t="inlineStr">
        <is>
          <t>Month 1</t>
        </is>
      </c>
      <c r="B4" s="6" t="n">
        <v>2500</v>
      </c>
      <c r="C4" s="6" t="n">
        <v>1700</v>
      </c>
      <c r="D4" s="6" t="n">
        <v>800</v>
      </c>
      <c r="E4" s="9">
        <f>C4+D4</f>
        <v/>
      </c>
      <c r="F4" s="12">
        <f>E4*0.5</f>
        <v/>
      </c>
      <c r="G4" s="13" t="n"/>
    </row>
    <row r="5">
      <c r="A5" s="13" t="inlineStr">
        <is>
          <t>Month 2</t>
        </is>
      </c>
      <c r="B5" s="6" t="n">
        <v>2500</v>
      </c>
      <c r="C5" s="6" t="n">
        <v>1700</v>
      </c>
      <c r="D5" s="6" t="n">
        <v>800</v>
      </c>
      <c r="E5" s="9">
        <f>C5+D5</f>
        <v/>
      </c>
      <c r="F5" s="12">
        <f>E5*0.5</f>
        <v/>
      </c>
      <c r="G5" s="13" t="n"/>
    </row>
    <row r="6">
      <c r="A6" s="13" t="inlineStr">
        <is>
          <t>Month 3</t>
        </is>
      </c>
      <c r="B6" s="6" t="n">
        <v>2500</v>
      </c>
      <c r="C6" s="6" t="n">
        <v>1700</v>
      </c>
      <c r="D6" s="6" t="n">
        <v>800</v>
      </c>
      <c r="E6" s="9">
        <f>C6+D6</f>
        <v/>
      </c>
      <c r="F6" s="12">
        <f>E6*0.5</f>
        <v/>
      </c>
      <c r="G6" s="13" t="n"/>
    </row>
    <row r="7">
      <c r="A7" s="13" t="inlineStr">
        <is>
          <t>Month 4</t>
        </is>
      </c>
      <c r="B7" s="6" t="n">
        <v>2500</v>
      </c>
      <c r="C7" s="6" t="n">
        <v>1700</v>
      </c>
      <c r="D7" s="6" t="n">
        <v>800</v>
      </c>
      <c r="E7" s="9">
        <f>C7+D7</f>
        <v/>
      </c>
      <c r="F7" s="12">
        <f>E7*0.5</f>
        <v/>
      </c>
      <c r="G7" s="13" t="n"/>
    </row>
    <row r="8">
      <c r="A8" s="13" t="inlineStr">
        <is>
          <t>Month 5</t>
        </is>
      </c>
      <c r="B8" s="6" t="n">
        <v>2500</v>
      </c>
      <c r="C8" s="6" t="n">
        <v>1700</v>
      </c>
      <c r="D8" s="6" t="n">
        <v>800</v>
      </c>
      <c r="E8" s="9">
        <f>C8+D8</f>
        <v/>
      </c>
      <c r="F8" s="12">
        <f>E8*0.5</f>
        <v/>
      </c>
      <c r="G8" s="13" t="n"/>
    </row>
    <row r="9">
      <c r="A9" s="13" t="inlineStr">
        <is>
          <t>Month 6</t>
        </is>
      </c>
      <c r="B9" s="6" t="n">
        <v>2500</v>
      </c>
      <c r="C9" s="6" t="n">
        <v>1700</v>
      </c>
      <c r="D9" s="6" t="n">
        <v>800</v>
      </c>
      <c r="E9" s="9">
        <f>C9+D9</f>
        <v/>
      </c>
      <c r="F9" s="12">
        <f>E9*0.5</f>
        <v/>
      </c>
      <c r="G9" s="13" t="n"/>
    </row>
    <row r="10">
      <c r="A10" s="14" t="inlineStr">
        <is>
          <t>TOTAL</t>
        </is>
      </c>
      <c r="B10" s="15">
        <f>SUM(B4:B9)</f>
        <v/>
      </c>
      <c r="C10" s="15">
        <f>SUM(C4:C9)</f>
        <v/>
      </c>
      <c r="D10" s="15">
        <f>SUM(D4:D9)</f>
        <v/>
      </c>
      <c r="E10" s="15">
        <f>SUM(E4:E9)</f>
        <v/>
      </c>
      <c r="F10" s="16">
        <f>SUM(F4:F9)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2026-09-08T17:39:08Z</dcterms:created>
  <dcterms:modified xsi:type="dcterms:W3CDTF">2026-09-08T17:39:08Z</dcterms:modified>
</cp:coreProperties>
</file>